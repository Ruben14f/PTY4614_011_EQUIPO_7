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132D19FF-CFA2-4098-9C6C-DBAC3508E6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_de_Cambios" sheetId="1" r:id="rId1"/>
    <sheet name="Resumen" sheetId="2" r:id="rId2"/>
    <sheet name="Instruccion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</calcChain>
</file>

<file path=xl/sharedStrings.xml><?xml version="1.0" encoding="utf-8"?>
<sst xmlns="http://schemas.openxmlformats.org/spreadsheetml/2006/main" count="136" uniqueCount="90">
  <si>
    <t>MATRIZ DE CONTROL DE CAMBIOS — PROYECTO GATI</t>
  </si>
  <si>
    <t>Bitácora para registrar, evaluar, aprobar o rechazar y cerrar formalmente las solicitudes de cambio del proyecto.</t>
  </si>
  <si>
    <t>ID Cambio</t>
  </si>
  <si>
    <t>Fecha solicitud</t>
  </si>
  <si>
    <t>Solicitante</t>
  </si>
  <si>
    <t>Descripción del cambio</t>
  </si>
  <si>
    <t>Justificación</t>
  </si>
  <si>
    <t>Clasificación</t>
  </si>
  <si>
    <t>Elementos afectados</t>
  </si>
  <si>
    <t>Impacto Alcance</t>
  </si>
  <si>
    <t>Impacto Tiempo</t>
  </si>
  <si>
    <t>Impacto Costo</t>
  </si>
  <si>
    <t>Impacto Riesgo</t>
  </si>
  <si>
    <t>Decisión</t>
  </si>
  <si>
    <t>Responsable</t>
  </si>
  <si>
    <t>Fecha decisión</t>
  </si>
  <si>
    <t>Estado</t>
  </si>
  <si>
    <t>Evidencia / Observaciones</t>
  </si>
  <si>
    <t>CC-001</t>
  </si>
  <si>
    <t>Pendiente</t>
  </si>
  <si>
    <t>CC-002</t>
  </si>
  <si>
    <t>CC-003</t>
  </si>
  <si>
    <t>CC-004</t>
  </si>
  <si>
    <t>CC-005</t>
  </si>
  <si>
    <t>CC-006</t>
  </si>
  <si>
    <t>CC-007</t>
  </si>
  <si>
    <t>CC-008</t>
  </si>
  <si>
    <t>CC-009</t>
  </si>
  <si>
    <t>CC-010</t>
  </si>
  <si>
    <t>CC-011</t>
  </si>
  <si>
    <t>CC-012</t>
  </si>
  <si>
    <t>CC-013</t>
  </si>
  <si>
    <t>CC-014</t>
  </si>
  <si>
    <t>CC-015</t>
  </si>
  <si>
    <t>CC-016</t>
  </si>
  <si>
    <t>CC-017</t>
  </si>
  <si>
    <t>CC-018</t>
  </si>
  <si>
    <t>CC-019</t>
  </si>
  <si>
    <t>CC-020</t>
  </si>
  <si>
    <t>CC-021</t>
  </si>
  <si>
    <t>CC-022</t>
  </si>
  <si>
    <t>CC-023</t>
  </si>
  <si>
    <t>CC-024</t>
  </si>
  <si>
    <t>CC-025</t>
  </si>
  <si>
    <t>CC-026</t>
  </si>
  <si>
    <t>CC-027</t>
  </si>
  <si>
    <t>CC-028</t>
  </si>
  <si>
    <t>CC-029</t>
  </si>
  <si>
    <t>CC-030</t>
  </si>
  <si>
    <t>CC-031</t>
  </si>
  <si>
    <t>CC-032</t>
  </si>
  <si>
    <t>CC-033</t>
  </si>
  <si>
    <t>CC-034</t>
  </si>
  <si>
    <t>CC-035</t>
  </si>
  <si>
    <t>CC-036</t>
  </si>
  <si>
    <t>CC-037</t>
  </si>
  <si>
    <t>CC-038</t>
  </si>
  <si>
    <t>CC-039</t>
  </si>
  <si>
    <t>CC-040</t>
  </si>
  <si>
    <t>RESUMEN — CONTROL DE CAMBIOS GATI</t>
  </si>
  <si>
    <t>Indicador</t>
  </si>
  <si>
    <t>Valor</t>
  </si>
  <si>
    <t>Solicitudes registradas</t>
  </si>
  <si>
    <t>Pendientes / evaluación</t>
  </si>
  <si>
    <t>Aprobadas</t>
  </si>
  <si>
    <t>Rechazadas</t>
  </si>
  <si>
    <t>Cerradas</t>
  </si>
  <si>
    <t>Cambios mayores</t>
  </si>
  <si>
    <t>GUÍA DE USO — MATRIZ DE CONTROL DE CAMBIOS</t>
  </si>
  <si>
    <t>Campo</t>
  </si>
  <si>
    <t>Uso</t>
  </si>
  <si>
    <t>Código único correlativo de la solicitud (CC-001, CC-002, etc.).</t>
  </si>
  <si>
    <t>Menor o Mayor, según el impacto evaluado.</t>
  </si>
  <si>
    <t>Indicar requisitos, EDT, arquitectura, planificación, documentación u otros.</t>
  </si>
  <si>
    <t>Impactos</t>
  </si>
  <si>
    <t>Evaluar alcance, tiempo, costo y riesgo como Bajo, Medio, Alto o No aplica.</t>
  </si>
  <si>
    <t>Registrar Aprobado, Rechazado, Pendiente o Requiere antecedentes.</t>
  </si>
  <si>
    <t>Reflejar el ciclo de vida de la solicitud hasta su cierre.</t>
  </si>
  <si>
    <t>Registrar antecedentes, documentos, verificaciones y referencias relacionadas.</t>
  </si>
  <si>
    <t>Sebastián Valdés – Patrocinador</t>
  </si>
  <si>
    <t>Incorporar el campo “Centro de costo” al registro de asignación de activos a funcionarios.</t>
  </si>
  <si>
    <t>La contraparte requiere identificar el centro de costo asociado al funcionario al momento de realizar una asignación, con el fin de disponer de esta información en las consultas posteriores.</t>
  </si>
  <si>
    <t>Mayor</t>
  </si>
  <si>
    <t>RF-09; modelo de datos; flujo de asignación; interfaz de asignación; matriz de trazabilidad; actividades de construcción y pruebas asociadas.</t>
  </si>
  <si>
    <t>Bajo</t>
  </si>
  <si>
    <t>Medio</t>
  </si>
  <si>
    <t>Aprobado</t>
  </si>
  <si>
    <t>Carlos Araya / Equipo de desarrollo</t>
  </si>
  <si>
    <t>En implementación</t>
  </si>
  <si>
    <t>Cambio aprobado. Actualizar RF-09, modelo de datos, interfaz de asignación y Matriz de Trazabilidad. Incorporar prueba que verifique el registro y consulta del nuevo campo.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</si>
</sst>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5"/>
      <color rgb="FFFFFFFF"/>
      <name val="Arial Narrow"/>
      <family val="2"/>
    </font>
    <font>
      <sz val="11"/>
      <name val="Arial Narrow"/>
      <family val="2"/>
    </font>
    <font>
      <b/>
      <sz val="11"/>
      <color rgb="FFFFFFFF"/>
      <name val="Arial Narrow"/>
      <family val="2"/>
    </font>
    <font>
      <sz val="16"/>
      <color rgb="FF334155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23756"/>
      </patternFill>
    </fill>
    <fill>
      <patternFill patternType="solid">
        <fgColor rgb="FFEAF0F6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4" fillId="0" borderId="0" xfId="0" applyFont="1"/>
    <xf numFmtId="0" fontId="5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4" borderId="0" xfId="0" applyFont="1" applyFill="1"/>
    <xf numFmtId="0" fontId="1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23">
    <dxf>
      <font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rlito"/>
        <scheme val="none"/>
      </font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olCambiosGATI" displayName="ControlCambiosGATI" ref="A4:P44" totalsRowShown="0" headerRowDxfId="22" dataDxfId="21">
  <tableColumns count="16">
    <tableColumn id="1" xr3:uid="{00000000-0010-0000-0000-000001000000}" name="ID Cambio" dataDxfId="20"/>
    <tableColumn id="2" xr3:uid="{00000000-0010-0000-0000-000002000000}" name="Fecha solicitud" dataDxfId="19"/>
    <tableColumn id="3" xr3:uid="{00000000-0010-0000-0000-000003000000}" name="Solicitante" dataDxfId="18"/>
    <tableColumn id="4" xr3:uid="{00000000-0010-0000-0000-000004000000}" name="Descripción del cambio" dataDxfId="17"/>
    <tableColumn id="5" xr3:uid="{00000000-0010-0000-0000-000005000000}" name="Justificación" dataDxfId="16"/>
    <tableColumn id="6" xr3:uid="{00000000-0010-0000-0000-000006000000}" name="Clasificación" dataDxfId="15"/>
    <tableColumn id="7" xr3:uid="{00000000-0010-0000-0000-000007000000}" name="Elementos afectados" dataDxfId="14"/>
    <tableColumn id="8" xr3:uid="{00000000-0010-0000-0000-000008000000}" name="Impacto Alcance" dataDxfId="13"/>
    <tableColumn id="9" xr3:uid="{00000000-0010-0000-0000-000009000000}" name="Impacto Tiempo" dataDxfId="12"/>
    <tableColumn id="10" xr3:uid="{00000000-0010-0000-0000-00000A000000}" name="Impacto Costo" dataDxfId="11"/>
    <tableColumn id="11" xr3:uid="{00000000-0010-0000-0000-00000B000000}" name="Impacto Riesgo" dataDxfId="10"/>
    <tableColumn id="12" xr3:uid="{00000000-0010-0000-0000-00000C000000}" name="Decisión" dataDxfId="9"/>
    <tableColumn id="13" xr3:uid="{00000000-0010-0000-0000-00000D000000}" name="Responsable" dataDxfId="8"/>
    <tableColumn id="14" xr3:uid="{00000000-0010-0000-0000-00000E000000}" name="Fecha decisión" dataDxfId="7"/>
    <tableColumn id="15" xr3:uid="{00000000-0010-0000-0000-00000F000000}" name="Estado" dataDxfId="6"/>
    <tableColumn id="16" xr3:uid="{00000000-0010-0000-0000-000010000000}" name="Evidencia / Observacione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zoomScale="80" zoomScaleNormal="80" workbookViewId="0">
      <selection activeCell="D7" sqref="D7"/>
    </sheetView>
  </sheetViews>
  <sheetFormatPr baseColWidth="10" defaultColWidth="8.796875" defaultRowHeight="13.8"/>
  <cols>
    <col min="1" max="1" width="8.3984375" style="2" customWidth="1"/>
    <col min="2" max="2" width="13.8984375" style="5" bestFit="1" customWidth="1"/>
    <col min="3" max="3" width="16.59765625" style="2" bestFit="1" customWidth="1"/>
    <col min="4" max="4" width="35" style="2" customWidth="1"/>
    <col min="5" max="5" width="44.5" style="2" customWidth="1"/>
    <col min="6" max="6" width="16" style="5" customWidth="1"/>
    <col min="7" max="7" width="41.796875" style="2" customWidth="1"/>
    <col min="8" max="11" width="16" style="5" customWidth="1"/>
    <col min="12" max="12" width="18" style="5" customWidth="1"/>
    <col min="13" max="13" width="22" style="2" customWidth="1"/>
    <col min="14" max="14" width="15" style="5" customWidth="1"/>
    <col min="15" max="15" width="18" style="5" customWidth="1"/>
    <col min="16" max="16" width="46.69921875" style="2" customWidth="1"/>
    <col min="17" max="16384" width="8.796875" style="2"/>
  </cols>
  <sheetData>
    <row r="1" spans="1:16" ht="24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4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4" spans="1:16" ht="28.8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55.2">
      <c r="A5" s="3" t="s">
        <v>18</v>
      </c>
      <c r="B5" s="6">
        <v>46295</v>
      </c>
      <c r="C5" s="3" t="s">
        <v>79</v>
      </c>
      <c r="D5" s="3" t="s">
        <v>80</v>
      </c>
      <c r="E5" s="3" t="s">
        <v>81</v>
      </c>
      <c r="F5" s="4" t="s">
        <v>82</v>
      </c>
      <c r="G5" s="3" t="s">
        <v>83</v>
      </c>
      <c r="H5" s="4" t="s">
        <v>85</v>
      </c>
      <c r="I5" s="4" t="s">
        <v>84</v>
      </c>
      <c r="J5" s="4" t="s">
        <v>84</v>
      </c>
      <c r="K5" s="4" t="s">
        <v>84</v>
      </c>
      <c r="L5" s="4" t="s">
        <v>86</v>
      </c>
      <c r="M5" s="3" t="s">
        <v>87</v>
      </c>
      <c r="N5" s="6">
        <v>46296</v>
      </c>
      <c r="O5" s="4" t="s">
        <v>88</v>
      </c>
      <c r="P5" s="3" t="s">
        <v>89</v>
      </c>
    </row>
    <row r="6" spans="1:16" ht="24" customHeight="1">
      <c r="A6" s="3" t="s">
        <v>20</v>
      </c>
      <c r="B6" s="6"/>
      <c r="C6" s="3"/>
      <c r="D6" s="3"/>
      <c r="E6" s="3"/>
      <c r="F6" s="4"/>
      <c r="G6" s="3"/>
      <c r="H6" s="4"/>
      <c r="I6" s="4"/>
      <c r="J6" s="4"/>
      <c r="K6" s="4"/>
      <c r="L6" s="4"/>
      <c r="M6" s="3"/>
      <c r="N6" s="6"/>
      <c r="O6" s="4" t="s">
        <v>19</v>
      </c>
      <c r="P6" s="3"/>
    </row>
    <row r="7" spans="1:16" ht="24" customHeight="1">
      <c r="A7" s="3" t="s">
        <v>21</v>
      </c>
      <c r="B7" s="6"/>
      <c r="C7" s="3"/>
      <c r="D7" s="3"/>
      <c r="E7" s="3"/>
      <c r="F7" s="4"/>
      <c r="G7" s="3"/>
      <c r="H7" s="4"/>
      <c r="I7" s="4"/>
      <c r="J7" s="4"/>
      <c r="K7" s="4"/>
      <c r="L7" s="4"/>
      <c r="M7" s="3"/>
      <c r="N7" s="6"/>
      <c r="O7" s="4" t="s">
        <v>19</v>
      </c>
      <c r="P7" s="3"/>
    </row>
    <row r="8" spans="1:16" ht="24" customHeight="1">
      <c r="A8" s="3" t="s">
        <v>22</v>
      </c>
      <c r="B8" s="6"/>
      <c r="C8" s="3"/>
      <c r="D8" s="3"/>
      <c r="E8" s="3"/>
      <c r="F8" s="4"/>
      <c r="G8" s="3"/>
      <c r="H8" s="4"/>
      <c r="I8" s="4"/>
      <c r="J8" s="4"/>
      <c r="K8" s="4"/>
      <c r="L8" s="4"/>
      <c r="M8" s="3"/>
      <c r="N8" s="6"/>
      <c r="O8" s="4" t="s">
        <v>19</v>
      </c>
      <c r="P8" s="3"/>
    </row>
    <row r="9" spans="1:16" ht="24" customHeight="1">
      <c r="A9" s="3" t="s">
        <v>23</v>
      </c>
      <c r="B9" s="6"/>
      <c r="C9" s="3"/>
      <c r="D9" s="3"/>
      <c r="E9" s="3"/>
      <c r="F9" s="4"/>
      <c r="G9" s="3"/>
      <c r="H9" s="4"/>
      <c r="I9" s="4"/>
      <c r="J9" s="4"/>
      <c r="K9" s="4"/>
      <c r="L9" s="4"/>
      <c r="M9" s="3"/>
      <c r="N9" s="6"/>
      <c r="O9" s="4" t="s">
        <v>19</v>
      </c>
      <c r="P9" s="3"/>
    </row>
    <row r="10" spans="1:16" ht="24" customHeight="1">
      <c r="A10" s="3" t="s">
        <v>24</v>
      </c>
      <c r="B10" s="6"/>
      <c r="C10" s="3"/>
      <c r="D10" s="3"/>
      <c r="E10" s="3"/>
      <c r="F10" s="4"/>
      <c r="G10" s="3"/>
      <c r="H10" s="4"/>
      <c r="I10" s="4"/>
      <c r="J10" s="4"/>
      <c r="K10" s="4"/>
      <c r="L10" s="4"/>
      <c r="M10" s="3"/>
      <c r="N10" s="6"/>
      <c r="O10" s="4" t="s">
        <v>19</v>
      </c>
      <c r="P10" s="3"/>
    </row>
    <row r="11" spans="1:16" ht="24" customHeight="1">
      <c r="A11" s="3" t="s">
        <v>25</v>
      </c>
      <c r="B11" s="6"/>
      <c r="C11" s="3"/>
      <c r="D11" s="3"/>
      <c r="E11" s="3"/>
      <c r="F11" s="4"/>
      <c r="G11" s="3"/>
      <c r="H11" s="4"/>
      <c r="I11" s="4"/>
      <c r="J11" s="4"/>
      <c r="K11" s="4"/>
      <c r="L11" s="4"/>
      <c r="M11" s="3"/>
      <c r="N11" s="6"/>
      <c r="O11" s="4" t="s">
        <v>19</v>
      </c>
      <c r="P11" s="3"/>
    </row>
    <row r="12" spans="1:16" ht="24" customHeight="1">
      <c r="A12" s="3" t="s">
        <v>26</v>
      </c>
      <c r="B12" s="6"/>
      <c r="C12" s="3"/>
      <c r="D12" s="3"/>
      <c r="E12" s="3"/>
      <c r="F12" s="4"/>
      <c r="G12" s="3"/>
      <c r="H12" s="4"/>
      <c r="I12" s="4"/>
      <c r="J12" s="4"/>
      <c r="K12" s="4"/>
      <c r="L12" s="4"/>
      <c r="M12" s="3"/>
      <c r="N12" s="6"/>
      <c r="O12" s="4" t="s">
        <v>19</v>
      </c>
      <c r="P12" s="3"/>
    </row>
    <row r="13" spans="1:16" ht="24" customHeight="1">
      <c r="A13" s="3" t="s">
        <v>27</v>
      </c>
      <c r="B13" s="6"/>
      <c r="C13" s="3"/>
      <c r="D13" s="3"/>
      <c r="E13" s="3"/>
      <c r="F13" s="4"/>
      <c r="G13" s="3"/>
      <c r="H13" s="4"/>
      <c r="I13" s="4"/>
      <c r="J13" s="4"/>
      <c r="K13" s="4"/>
      <c r="L13" s="4"/>
      <c r="M13" s="3"/>
      <c r="N13" s="6"/>
      <c r="O13" s="4" t="s">
        <v>19</v>
      </c>
      <c r="P13" s="3"/>
    </row>
    <row r="14" spans="1:16" ht="24" customHeight="1">
      <c r="A14" s="3" t="s">
        <v>28</v>
      </c>
      <c r="B14" s="6"/>
      <c r="C14" s="3"/>
      <c r="D14" s="3"/>
      <c r="E14" s="3"/>
      <c r="F14" s="4"/>
      <c r="G14" s="3"/>
      <c r="H14" s="4"/>
      <c r="I14" s="4"/>
      <c r="J14" s="4"/>
      <c r="K14" s="4"/>
      <c r="L14" s="4"/>
      <c r="M14" s="3"/>
      <c r="N14" s="6"/>
      <c r="O14" s="4" t="s">
        <v>19</v>
      </c>
      <c r="P14" s="3"/>
    </row>
    <row r="15" spans="1:16" ht="24" customHeight="1">
      <c r="A15" s="3" t="s">
        <v>29</v>
      </c>
      <c r="B15" s="6"/>
      <c r="C15" s="3"/>
      <c r="D15" s="3"/>
      <c r="E15" s="3"/>
      <c r="F15" s="4"/>
      <c r="G15" s="3"/>
      <c r="H15" s="4"/>
      <c r="I15" s="4"/>
      <c r="J15" s="4"/>
      <c r="K15" s="4"/>
      <c r="L15" s="4"/>
      <c r="M15" s="3"/>
      <c r="N15" s="6"/>
      <c r="O15" s="4" t="s">
        <v>19</v>
      </c>
      <c r="P15" s="3"/>
    </row>
    <row r="16" spans="1:16" ht="24" customHeight="1">
      <c r="A16" s="3" t="s">
        <v>30</v>
      </c>
      <c r="B16" s="6"/>
      <c r="C16" s="3"/>
      <c r="D16" s="3"/>
      <c r="E16" s="3"/>
      <c r="F16" s="4"/>
      <c r="G16" s="3"/>
      <c r="H16" s="4"/>
      <c r="I16" s="4"/>
      <c r="J16" s="4"/>
      <c r="K16" s="4"/>
      <c r="L16" s="4"/>
      <c r="M16" s="3"/>
      <c r="N16" s="6"/>
      <c r="O16" s="4" t="s">
        <v>19</v>
      </c>
      <c r="P16" s="3"/>
    </row>
    <row r="17" spans="1:16" ht="24" customHeight="1">
      <c r="A17" s="3" t="s">
        <v>31</v>
      </c>
      <c r="B17" s="6"/>
      <c r="C17" s="3"/>
      <c r="D17" s="3"/>
      <c r="E17" s="3"/>
      <c r="F17" s="4"/>
      <c r="G17" s="3"/>
      <c r="H17" s="4"/>
      <c r="I17" s="4"/>
      <c r="J17" s="4"/>
      <c r="K17" s="4"/>
      <c r="L17" s="4"/>
      <c r="M17" s="3"/>
      <c r="N17" s="6"/>
      <c r="O17" s="4" t="s">
        <v>19</v>
      </c>
      <c r="P17" s="3"/>
    </row>
    <row r="18" spans="1:16" ht="24" customHeight="1">
      <c r="A18" s="3" t="s">
        <v>32</v>
      </c>
      <c r="B18" s="6"/>
      <c r="C18" s="3"/>
      <c r="D18" s="3"/>
      <c r="E18" s="3"/>
      <c r="F18" s="4"/>
      <c r="G18" s="3"/>
      <c r="H18" s="4"/>
      <c r="I18" s="4"/>
      <c r="J18" s="4"/>
      <c r="K18" s="4"/>
      <c r="L18" s="4"/>
      <c r="M18" s="3"/>
      <c r="N18" s="6"/>
      <c r="O18" s="4" t="s">
        <v>19</v>
      </c>
      <c r="P18" s="3"/>
    </row>
    <row r="19" spans="1:16" ht="24" customHeight="1">
      <c r="A19" s="3" t="s">
        <v>33</v>
      </c>
      <c r="B19" s="6"/>
      <c r="C19" s="3"/>
      <c r="D19" s="3"/>
      <c r="E19" s="3"/>
      <c r="F19" s="4"/>
      <c r="G19" s="3"/>
      <c r="H19" s="4"/>
      <c r="I19" s="4"/>
      <c r="J19" s="4"/>
      <c r="K19" s="4"/>
      <c r="L19" s="4"/>
      <c r="M19" s="3"/>
      <c r="N19" s="6"/>
      <c r="O19" s="4" t="s">
        <v>19</v>
      </c>
      <c r="P19" s="3"/>
    </row>
    <row r="20" spans="1:16" ht="24" customHeight="1">
      <c r="A20" s="3" t="s">
        <v>34</v>
      </c>
      <c r="B20" s="6"/>
      <c r="C20" s="3"/>
      <c r="D20" s="3"/>
      <c r="E20" s="3"/>
      <c r="F20" s="4"/>
      <c r="G20" s="3"/>
      <c r="H20" s="4"/>
      <c r="I20" s="4"/>
      <c r="J20" s="4"/>
      <c r="K20" s="4"/>
      <c r="L20" s="4"/>
      <c r="M20" s="3"/>
      <c r="N20" s="6"/>
      <c r="O20" s="4" t="s">
        <v>19</v>
      </c>
      <c r="P20" s="3"/>
    </row>
    <row r="21" spans="1:16" ht="24" customHeight="1">
      <c r="A21" s="3" t="s">
        <v>35</v>
      </c>
      <c r="B21" s="6"/>
      <c r="C21" s="3"/>
      <c r="D21" s="3"/>
      <c r="E21" s="3"/>
      <c r="F21" s="4"/>
      <c r="G21" s="3"/>
      <c r="H21" s="4"/>
      <c r="I21" s="4"/>
      <c r="J21" s="4"/>
      <c r="K21" s="4"/>
      <c r="L21" s="4"/>
      <c r="M21" s="3"/>
      <c r="N21" s="6"/>
      <c r="O21" s="4" t="s">
        <v>19</v>
      </c>
      <c r="P21" s="3"/>
    </row>
    <row r="22" spans="1:16" ht="24" customHeight="1">
      <c r="A22" s="3" t="s">
        <v>36</v>
      </c>
      <c r="B22" s="6"/>
      <c r="C22" s="3"/>
      <c r="D22" s="3"/>
      <c r="E22" s="3"/>
      <c r="F22" s="4"/>
      <c r="G22" s="3"/>
      <c r="H22" s="4"/>
      <c r="I22" s="4"/>
      <c r="J22" s="4"/>
      <c r="K22" s="4"/>
      <c r="L22" s="4"/>
      <c r="M22" s="3"/>
      <c r="N22" s="6"/>
      <c r="O22" s="4" t="s">
        <v>19</v>
      </c>
      <c r="P22" s="3"/>
    </row>
    <row r="23" spans="1:16" ht="24" customHeight="1">
      <c r="A23" s="3" t="s">
        <v>37</v>
      </c>
      <c r="B23" s="6"/>
      <c r="C23" s="3"/>
      <c r="D23" s="3"/>
      <c r="E23" s="3"/>
      <c r="F23" s="4"/>
      <c r="G23" s="3"/>
      <c r="H23" s="4"/>
      <c r="I23" s="4"/>
      <c r="J23" s="4"/>
      <c r="K23" s="4"/>
      <c r="L23" s="4"/>
      <c r="M23" s="3"/>
      <c r="N23" s="6"/>
      <c r="O23" s="4" t="s">
        <v>19</v>
      </c>
      <c r="P23" s="3"/>
    </row>
    <row r="24" spans="1:16" ht="24" customHeight="1">
      <c r="A24" s="3" t="s">
        <v>38</v>
      </c>
      <c r="B24" s="6"/>
      <c r="C24" s="3"/>
      <c r="D24" s="3"/>
      <c r="E24" s="3"/>
      <c r="F24" s="4"/>
      <c r="G24" s="3"/>
      <c r="H24" s="4"/>
      <c r="I24" s="4"/>
      <c r="J24" s="4"/>
      <c r="K24" s="4"/>
      <c r="L24" s="4"/>
      <c r="M24" s="3"/>
      <c r="N24" s="6"/>
      <c r="O24" s="4" t="s">
        <v>19</v>
      </c>
      <c r="P24" s="3"/>
    </row>
    <row r="25" spans="1:16" ht="24" customHeight="1">
      <c r="A25" s="3" t="s">
        <v>39</v>
      </c>
      <c r="B25" s="6"/>
      <c r="C25" s="3"/>
      <c r="D25" s="3"/>
      <c r="E25" s="3"/>
      <c r="F25" s="4"/>
      <c r="G25" s="3"/>
      <c r="H25" s="4"/>
      <c r="I25" s="4"/>
      <c r="J25" s="4"/>
      <c r="K25" s="4"/>
      <c r="L25" s="4"/>
      <c r="M25" s="3"/>
      <c r="N25" s="6"/>
      <c r="O25" s="4" t="s">
        <v>19</v>
      </c>
      <c r="P25" s="3"/>
    </row>
    <row r="26" spans="1:16" ht="24" customHeight="1">
      <c r="A26" s="3" t="s">
        <v>40</v>
      </c>
      <c r="B26" s="6"/>
      <c r="C26" s="3"/>
      <c r="D26" s="3"/>
      <c r="E26" s="3"/>
      <c r="F26" s="4"/>
      <c r="G26" s="3"/>
      <c r="H26" s="4"/>
      <c r="I26" s="4"/>
      <c r="J26" s="4"/>
      <c r="K26" s="4"/>
      <c r="L26" s="4"/>
      <c r="M26" s="3"/>
      <c r="N26" s="6"/>
      <c r="O26" s="4" t="s">
        <v>19</v>
      </c>
      <c r="P26" s="3"/>
    </row>
    <row r="27" spans="1:16" ht="24" customHeight="1">
      <c r="A27" s="3" t="s">
        <v>41</v>
      </c>
      <c r="B27" s="6"/>
      <c r="C27" s="3"/>
      <c r="D27" s="3"/>
      <c r="E27" s="3"/>
      <c r="F27" s="4"/>
      <c r="G27" s="3"/>
      <c r="H27" s="4"/>
      <c r="I27" s="4"/>
      <c r="J27" s="4"/>
      <c r="K27" s="4"/>
      <c r="L27" s="4"/>
      <c r="M27" s="3"/>
      <c r="N27" s="6"/>
      <c r="O27" s="4" t="s">
        <v>19</v>
      </c>
      <c r="P27" s="3"/>
    </row>
    <row r="28" spans="1:16" ht="24" customHeight="1">
      <c r="A28" s="3" t="s">
        <v>42</v>
      </c>
      <c r="B28" s="6"/>
      <c r="C28" s="3"/>
      <c r="D28" s="3"/>
      <c r="E28" s="3"/>
      <c r="F28" s="4"/>
      <c r="G28" s="3"/>
      <c r="H28" s="4"/>
      <c r="I28" s="4"/>
      <c r="J28" s="4"/>
      <c r="K28" s="4"/>
      <c r="L28" s="4"/>
      <c r="M28" s="3"/>
      <c r="N28" s="6"/>
      <c r="O28" s="4" t="s">
        <v>19</v>
      </c>
      <c r="P28" s="3"/>
    </row>
    <row r="29" spans="1:16" ht="24" customHeight="1">
      <c r="A29" s="3" t="s">
        <v>43</v>
      </c>
      <c r="B29" s="6"/>
      <c r="C29" s="3"/>
      <c r="D29" s="3"/>
      <c r="E29" s="3"/>
      <c r="F29" s="4"/>
      <c r="G29" s="3"/>
      <c r="H29" s="4"/>
      <c r="I29" s="4"/>
      <c r="J29" s="4"/>
      <c r="K29" s="4"/>
      <c r="L29" s="4"/>
      <c r="M29" s="3"/>
      <c r="N29" s="6"/>
      <c r="O29" s="4" t="s">
        <v>19</v>
      </c>
      <c r="P29" s="3"/>
    </row>
    <row r="30" spans="1:16" ht="24" customHeight="1">
      <c r="A30" s="3" t="s">
        <v>44</v>
      </c>
      <c r="B30" s="6"/>
      <c r="C30" s="3"/>
      <c r="D30" s="3"/>
      <c r="E30" s="3"/>
      <c r="F30" s="4"/>
      <c r="G30" s="3"/>
      <c r="H30" s="4"/>
      <c r="I30" s="4"/>
      <c r="J30" s="4"/>
      <c r="K30" s="4"/>
      <c r="L30" s="4"/>
      <c r="M30" s="3"/>
      <c r="N30" s="6"/>
      <c r="O30" s="4" t="s">
        <v>19</v>
      </c>
      <c r="P30" s="3"/>
    </row>
    <row r="31" spans="1:16" ht="24" customHeight="1">
      <c r="A31" s="3" t="s">
        <v>45</v>
      </c>
      <c r="B31" s="6"/>
      <c r="C31" s="3"/>
      <c r="D31" s="3"/>
      <c r="E31" s="3"/>
      <c r="F31" s="4"/>
      <c r="G31" s="3"/>
      <c r="H31" s="4"/>
      <c r="I31" s="4"/>
      <c r="J31" s="4"/>
      <c r="K31" s="4"/>
      <c r="L31" s="4"/>
      <c r="M31" s="3"/>
      <c r="N31" s="6"/>
      <c r="O31" s="4" t="s">
        <v>19</v>
      </c>
      <c r="P31" s="3"/>
    </row>
    <row r="32" spans="1:16" ht="24" customHeight="1">
      <c r="A32" s="3" t="s">
        <v>46</v>
      </c>
      <c r="B32" s="6"/>
      <c r="C32" s="3"/>
      <c r="D32" s="3"/>
      <c r="E32" s="3"/>
      <c r="F32" s="4"/>
      <c r="G32" s="3"/>
      <c r="H32" s="4"/>
      <c r="I32" s="4"/>
      <c r="J32" s="4"/>
      <c r="K32" s="4"/>
      <c r="L32" s="4"/>
      <c r="M32" s="3"/>
      <c r="N32" s="6"/>
      <c r="O32" s="4" t="s">
        <v>19</v>
      </c>
      <c r="P32" s="3"/>
    </row>
    <row r="33" spans="1:16" ht="24" customHeight="1">
      <c r="A33" s="3" t="s">
        <v>47</v>
      </c>
      <c r="B33" s="6"/>
      <c r="C33" s="3"/>
      <c r="D33" s="3"/>
      <c r="E33" s="3"/>
      <c r="F33" s="4"/>
      <c r="G33" s="3"/>
      <c r="H33" s="4"/>
      <c r="I33" s="4"/>
      <c r="J33" s="4"/>
      <c r="K33" s="4"/>
      <c r="L33" s="4"/>
      <c r="M33" s="3"/>
      <c r="N33" s="6"/>
      <c r="O33" s="4" t="s">
        <v>19</v>
      </c>
      <c r="P33" s="3"/>
    </row>
    <row r="34" spans="1:16" ht="24" customHeight="1">
      <c r="A34" s="3" t="s">
        <v>48</v>
      </c>
      <c r="B34" s="6"/>
      <c r="C34" s="3"/>
      <c r="D34" s="3"/>
      <c r="E34" s="3"/>
      <c r="F34" s="4"/>
      <c r="G34" s="3"/>
      <c r="H34" s="4"/>
      <c r="I34" s="4"/>
      <c r="J34" s="4"/>
      <c r="K34" s="4"/>
      <c r="L34" s="4"/>
      <c r="M34" s="3"/>
      <c r="N34" s="6"/>
      <c r="O34" s="4" t="s">
        <v>19</v>
      </c>
      <c r="P34" s="3"/>
    </row>
    <row r="35" spans="1:16" ht="24" customHeight="1">
      <c r="A35" s="3" t="s">
        <v>49</v>
      </c>
      <c r="B35" s="6"/>
      <c r="C35" s="3"/>
      <c r="D35" s="3"/>
      <c r="E35" s="3"/>
      <c r="F35" s="4"/>
      <c r="G35" s="3"/>
      <c r="H35" s="4"/>
      <c r="I35" s="4"/>
      <c r="J35" s="4"/>
      <c r="K35" s="4"/>
      <c r="L35" s="4"/>
      <c r="M35" s="3"/>
      <c r="N35" s="6"/>
      <c r="O35" s="4" t="s">
        <v>19</v>
      </c>
      <c r="P35" s="3"/>
    </row>
    <row r="36" spans="1:16" ht="24" customHeight="1">
      <c r="A36" s="3" t="s">
        <v>50</v>
      </c>
      <c r="B36" s="6"/>
      <c r="C36" s="3"/>
      <c r="D36" s="3"/>
      <c r="E36" s="3"/>
      <c r="F36" s="4"/>
      <c r="G36" s="3"/>
      <c r="H36" s="4"/>
      <c r="I36" s="4"/>
      <c r="J36" s="4"/>
      <c r="K36" s="4"/>
      <c r="L36" s="4"/>
      <c r="M36" s="3"/>
      <c r="N36" s="6"/>
      <c r="O36" s="4" t="s">
        <v>19</v>
      </c>
      <c r="P36" s="3"/>
    </row>
    <row r="37" spans="1:16" ht="24" customHeight="1">
      <c r="A37" s="3" t="s">
        <v>51</v>
      </c>
      <c r="B37" s="6"/>
      <c r="C37" s="3"/>
      <c r="D37" s="3"/>
      <c r="E37" s="3"/>
      <c r="F37" s="4"/>
      <c r="G37" s="3"/>
      <c r="H37" s="4"/>
      <c r="I37" s="4"/>
      <c r="J37" s="4"/>
      <c r="K37" s="4"/>
      <c r="L37" s="4"/>
      <c r="M37" s="3"/>
      <c r="N37" s="6"/>
      <c r="O37" s="4" t="s">
        <v>19</v>
      </c>
      <c r="P37" s="3"/>
    </row>
    <row r="38" spans="1:16" ht="24" customHeight="1">
      <c r="A38" s="3" t="s">
        <v>52</v>
      </c>
      <c r="B38" s="6"/>
      <c r="C38" s="3"/>
      <c r="D38" s="3"/>
      <c r="E38" s="3"/>
      <c r="F38" s="4"/>
      <c r="G38" s="3"/>
      <c r="H38" s="4"/>
      <c r="I38" s="4"/>
      <c r="J38" s="4"/>
      <c r="K38" s="4"/>
      <c r="L38" s="4"/>
      <c r="M38" s="3"/>
      <c r="N38" s="6"/>
      <c r="O38" s="4" t="s">
        <v>19</v>
      </c>
      <c r="P38" s="3"/>
    </row>
    <row r="39" spans="1:16" ht="24" customHeight="1">
      <c r="A39" s="3" t="s">
        <v>53</v>
      </c>
      <c r="B39" s="6"/>
      <c r="C39" s="3"/>
      <c r="D39" s="3"/>
      <c r="E39" s="3"/>
      <c r="F39" s="4"/>
      <c r="G39" s="3"/>
      <c r="H39" s="4"/>
      <c r="I39" s="4"/>
      <c r="J39" s="4"/>
      <c r="K39" s="4"/>
      <c r="L39" s="4"/>
      <c r="M39" s="3"/>
      <c r="N39" s="6"/>
      <c r="O39" s="4" t="s">
        <v>19</v>
      </c>
      <c r="P39" s="3"/>
    </row>
    <row r="40" spans="1:16" ht="24" customHeight="1">
      <c r="A40" s="3" t="s">
        <v>54</v>
      </c>
      <c r="B40" s="6"/>
      <c r="C40" s="3"/>
      <c r="D40" s="3"/>
      <c r="E40" s="3"/>
      <c r="F40" s="4"/>
      <c r="G40" s="3"/>
      <c r="H40" s="4"/>
      <c r="I40" s="4"/>
      <c r="J40" s="4"/>
      <c r="K40" s="4"/>
      <c r="L40" s="4"/>
      <c r="M40" s="3"/>
      <c r="N40" s="6"/>
      <c r="O40" s="4" t="s">
        <v>19</v>
      </c>
      <c r="P40" s="3"/>
    </row>
    <row r="41" spans="1:16" ht="24" customHeight="1">
      <c r="A41" s="3" t="s">
        <v>55</v>
      </c>
      <c r="B41" s="6"/>
      <c r="C41" s="3"/>
      <c r="D41" s="3"/>
      <c r="E41" s="3"/>
      <c r="F41" s="4"/>
      <c r="G41" s="3"/>
      <c r="H41" s="4"/>
      <c r="I41" s="4"/>
      <c r="J41" s="4"/>
      <c r="K41" s="4"/>
      <c r="L41" s="4"/>
      <c r="M41" s="3"/>
      <c r="N41" s="6"/>
      <c r="O41" s="4" t="s">
        <v>19</v>
      </c>
      <c r="P41" s="3"/>
    </row>
    <row r="42" spans="1:16" ht="24" customHeight="1">
      <c r="A42" s="3" t="s">
        <v>56</v>
      </c>
      <c r="B42" s="6"/>
      <c r="C42" s="3"/>
      <c r="D42" s="3"/>
      <c r="E42" s="3"/>
      <c r="F42" s="4"/>
      <c r="G42" s="3"/>
      <c r="H42" s="4"/>
      <c r="I42" s="4"/>
      <c r="J42" s="4"/>
      <c r="K42" s="4"/>
      <c r="L42" s="4"/>
      <c r="M42" s="3"/>
      <c r="N42" s="6"/>
      <c r="O42" s="4" t="s">
        <v>19</v>
      </c>
      <c r="P42" s="3"/>
    </row>
    <row r="43" spans="1:16" ht="24" customHeight="1">
      <c r="A43" s="3" t="s">
        <v>57</v>
      </c>
      <c r="B43" s="6"/>
      <c r="C43" s="3"/>
      <c r="D43" s="3"/>
      <c r="E43" s="3"/>
      <c r="F43" s="4"/>
      <c r="G43" s="3"/>
      <c r="H43" s="4"/>
      <c r="I43" s="4"/>
      <c r="J43" s="4"/>
      <c r="K43" s="4"/>
      <c r="L43" s="4"/>
      <c r="M43" s="3"/>
      <c r="N43" s="6"/>
      <c r="O43" s="4" t="s">
        <v>19</v>
      </c>
      <c r="P43" s="3"/>
    </row>
    <row r="44" spans="1:16" ht="24" customHeight="1">
      <c r="A44" s="3" t="s">
        <v>58</v>
      </c>
      <c r="B44" s="6"/>
      <c r="C44" s="3"/>
      <c r="D44" s="3"/>
      <c r="E44" s="3"/>
      <c r="F44" s="4"/>
      <c r="G44" s="3"/>
      <c r="H44" s="4"/>
      <c r="I44" s="4"/>
      <c r="J44" s="4"/>
      <c r="K44" s="4"/>
      <c r="L44" s="4"/>
      <c r="M44" s="3"/>
      <c r="N44" s="6"/>
      <c r="O44" s="4" t="s">
        <v>19</v>
      </c>
      <c r="P44" s="3"/>
    </row>
  </sheetData>
  <mergeCells count="2">
    <mergeCell ref="A1:P1"/>
    <mergeCell ref="A2:P2"/>
  </mergeCells>
  <conditionalFormatting sqref="F5:F44">
    <cfRule type="expression" dxfId="4" priority="1">
      <formula>F5="Mayor"</formula>
    </cfRule>
  </conditionalFormatting>
  <conditionalFormatting sqref="L5:L44">
    <cfRule type="expression" dxfId="3" priority="2">
      <formula>L5="Aprobado"</formula>
    </cfRule>
    <cfRule type="expression" dxfId="2" priority="3">
      <formula>L5="Rechazado"</formula>
    </cfRule>
  </conditionalFormatting>
  <conditionalFormatting sqref="O5:O44">
    <cfRule type="expression" dxfId="1" priority="4">
      <formula>O5="Cerrado"</formula>
    </cfRule>
    <cfRule type="expression" dxfId="0" priority="5">
      <formula>O5="En evaluación"</formula>
    </cfRule>
  </conditionalFormatting>
  <dataValidations count="4">
    <dataValidation type="list" sqref="F5:F44" xr:uid="{00000000-0002-0000-0000-000000000000}">
      <formula1>"Menor,Mayor"</formula1>
    </dataValidation>
    <dataValidation type="list" sqref="H5:K44" xr:uid="{00000000-0002-0000-0000-000001000000}">
      <formula1>"Bajo,Medio,Alto,No aplica"</formula1>
    </dataValidation>
    <dataValidation type="list" sqref="L5:L44" xr:uid="{00000000-0002-0000-0000-000005000000}">
      <formula1>"Pendiente,Aprobado,Rechazado,Requiere antecedentes"</formula1>
    </dataValidation>
    <dataValidation type="list" sqref="O5:O44" xr:uid="{00000000-0002-0000-0000-000006000000}">
      <formula1>"Pendiente,En evaluación,Aprobado,En implementación,En verificación,Cerrado,Rechazado"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C12" sqref="C12"/>
    </sheetView>
  </sheetViews>
  <sheetFormatPr baseColWidth="10" defaultColWidth="8.796875" defaultRowHeight="13.8"/>
  <cols>
    <col min="1" max="1" width="30" style="7" customWidth="1"/>
    <col min="2" max="2" width="16" style="7" customWidth="1"/>
    <col min="3" max="16384" width="8.796875" style="7"/>
  </cols>
  <sheetData>
    <row r="1" spans="1:6" ht="19.2">
      <c r="A1" s="13" t="s">
        <v>59</v>
      </c>
      <c r="B1" s="13"/>
      <c r="C1" s="13"/>
      <c r="D1" s="13"/>
      <c r="E1" s="13"/>
      <c r="F1" s="13"/>
    </row>
    <row r="3" spans="1:6" ht="19.2" customHeight="1">
      <c r="A3" s="10" t="s">
        <v>60</v>
      </c>
      <c r="B3" s="10" t="s">
        <v>61</v>
      </c>
    </row>
    <row r="4" spans="1:6" ht="19.2" customHeight="1">
      <c r="A4" s="7" t="s">
        <v>62</v>
      </c>
      <c r="B4" s="7">
        <f>COUNTIF(Control_de_Cambios!D5:D44,"&lt;&gt;")</f>
        <v>1</v>
      </c>
    </row>
    <row r="5" spans="1:6" ht="19.2" customHeight="1">
      <c r="A5" s="7" t="s">
        <v>63</v>
      </c>
      <c r="B5" s="7">
        <f>COUNTIF(Control_de_Cambios!O5:O44,"Pendiente")+COUNTIF(Control_de_Cambios!O5:O44,"En evaluación")</f>
        <v>39</v>
      </c>
    </row>
    <row r="6" spans="1:6" ht="19.2" customHeight="1">
      <c r="A6" s="7" t="s">
        <v>64</v>
      </c>
      <c r="B6" s="7">
        <f>COUNTIF(Control_de_Cambios!L5:L44,"Aprobado")</f>
        <v>1</v>
      </c>
    </row>
    <row r="7" spans="1:6" ht="19.2" customHeight="1">
      <c r="A7" s="7" t="s">
        <v>65</v>
      </c>
      <c r="B7" s="7">
        <f>COUNTIF(Control_de_Cambios!L5:L44,"Rechazado")</f>
        <v>0</v>
      </c>
    </row>
    <row r="8" spans="1:6" ht="19.2" customHeight="1">
      <c r="A8" s="7" t="s">
        <v>66</v>
      </c>
      <c r="B8" s="7">
        <f>COUNTIF(Control_de_Cambios!O5:O44,"Cerrado")</f>
        <v>0</v>
      </c>
    </row>
    <row r="9" spans="1:6" ht="19.2" customHeight="1">
      <c r="A9" s="7" t="s">
        <v>67</v>
      </c>
      <c r="B9" s="7">
        <f>COUNTIF(Control_de_Cambios!F5:F44,"Mayor")</f>
        <v>1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A7" sqref="A7"/>
    </sheetView>
  </sheetViews>
  <sheetFormatPr baseColWidth="10" defaultColWidth="8.796875" defaultRowHeight="13.8"/>
  <cols>
    <col min="1" max="1" width="28" style="7" customWidth="1"/>
    <col min="2" max="2" width="75" style="7" customWidth="1"/>
    <col min="3" max="16384" width="8.796875" style="7"/>
  </cols>
  <sheetData>
    <row r="1" spans="1:2" ht="19.2">
      <c r="A1" s="13" t="s">
        <v>68</v>
      </c>
      <c r="B1" s="13"/>
    </row>
    <row r="3" spans="1:2">
      <c r="A3" s="8" t="s">
        <v>69</v>
      </c>
      <c r="B3" s="8" t="s">
        <v>70</v>
      </c>
    </row>
    <row r="4" spans="1:2" ht="27.15" customHeight="1">
      <c r="A4" s="9" t="s">
        <v>2</v>
      </c>
      <c r="B4" s="9" t="s">
        <v>71</v>
      </c>
    </row>
    <row r="5" spans="1:2" ht="27.15" customHeight="1">
      <c r="A5" s="9" t="s">
        <v>7</v>
      </c>
      <c r="B5" s="9" t="s">
        <v>72</v>
      </c>
    </row>
    <row r="6" spans="1:2" ht="27.15" customHeight="1">
      <c r="A6" s="9" t="s">
        <v>8</v>
      </c>
      <c r="B6" s="9" t="s">
        <v>73</v>
      </c>
    </row>
    <row r="7" spans="1:2" ht="27.15" customHeight="1">
      <c r="A7" s="9" t="s">
        <v>74</v>
      </c>
      <c r="B7" s="9" t="s">
        <v>75</v>
      </c>
    </row>
    <row r="8" spans="1:2" ht="27.15" customHeight="1">
      <c r="A8" s="9" t="s">
        <v>13</v>
      </c>
      <c r="B8" s="9" t="s">
        <v>76</v>
      </c>
    </row>
    <row r="9" spans="1:2" ht="27.15" customHeight="1">
      <c r="A9" s="9" t="s">
        <v>16</v>
      </c>
      <c r="B9" s="9" t="s">
        <v>77</v>
      </c>
    </row>
    <row r="10" spans="1:2" ht="27.15" customHeight="1">
      <c r="A10" s="9" t="s">
        <v>17</v>
      </c>
      <c r="B10" s="9" t="s">
        <v>78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Control_de_Cambios</vt:lpstr>
      <vt:lpstr>Resumen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araya</cp:lastModifiedBy>
  <dcterms:modified xsi:type="dcterms:W3CDTF">2026-09-30T13:19:50Z</dcterms:modified>
</cp:coreProperties>
</file>