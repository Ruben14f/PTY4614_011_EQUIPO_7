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/>
  <mc:AlternateContent xmlns:mc="http://schemas.openxmlformats.org/markup-compatibility/2006">
    <mc:Choice Requires="x15">
      <x15ac:absPath xmlns:x15ac="http://schemas.microsoft.com/office/spreadsheetml/2010/11/ac" url="C:\Users\mi\Downloads\"/>
    </mc:Choice>
  </mc:AlternateContent>
  <xr:revisionPtr revIDLastSave="0" documentId="13_ncr:1_{0396FDFB-5CAA-4D12-BA7F-8E38FBE784B5}" xr6:coauthVersionLast="47" xr6:coauthVersionMax="47" xr10:uidLastSave="{00000000-0000-0000-0000-000000000000}"/>
  <bookViews>
    <workbookView xWindow="-120" yWindow="-120" windowWidth="38640" windowHeight="21120" xr2:uid="{00000000-000D-0000-FFFF-FFFF00000000}"/>
  </bookViews>
  <sheets>
    <sheet name="Identificación Casos" sheetId="1" r:id="rId1"/>
    <sheet name="Control" sheetId="2" r:id="rId2"/>
    <sheet name="Datos del plan" sheetId="3" r:id="rId3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calcChain.xml><?xml version="1.0" encoding="utf-8"?>
<calcChain xmlns="http://schemas.openxmlformats.org/spreadsheetml/2006/main">
  <c r="C20" i="2" l="1"/>
  <c r="C19" i="2"/>
  <c r="F18" i="2"/>
  <c r="C18" i="2"/>
  <c r="F17" i="2"/>
  <c r="C17" i="2"/>
  <c r="F16" i="2"/>
  <c r="C11" i="2"/>
  <c r="C13" i="2" s="1"/>
  <c r="C9" i="2"/>
  <c r="C8" i="2"/>
  <c r="C7" i="2"/>
  <c r="C6" i="2"/>
  <c r="C5" i="2"/>
</calcChain>
</file>

<file path=xl/sharedStrings.xml><?xml version="1.0" encoding="utf-8"?>
<sst xmlns="http://schemas.openxmlformats.org/spreadsheetml/2006/main" count="344" uniqueCount="199">
  <si>
    <t>ID</t>
  </si>
  <si>
    <t>Requisito asociado</t>
  </si>
  <si>
    <t>Nombre de la prueba</t>
  </si>
  <si>
    <t>Tipo</t>
  </si>
  <si>
    <t>Pasos de Prueba</t>
  </si>
  <si>
    <t>Resultado esperado</t>
  </si>
  <si>
    <t>Resultado obtenido</t>
  </si>
  <si>
    <t>Módulo a probar</t>
  </si>
  <si>
    <t>Resultado</t>
  </si>
  <si>
    <t>Responsable ejecución</t>
  </si>
  <si>
    <t>Complejidad</t>
  </si>
  <si>
    <t>CP1.1</t>
  </si>
  <si>
    <t>RF-01 / RNF-15</t>
  </si>
  <si>
    <t>Autenticación correcta y acceso según rol</t>
  </si>
  <si>
    <t>Funcional</t>
  </si>
  <si>
    <t>1- Acceder a GATI.
2- Ingresar credenciales válidas de un Administrador.
3- Iniciar sesión y verificar las funcionalidades habilitadas.
4- Cerrar sesión.
5- Ingresar credenciales válidas de un Técnico de Soporte.
6- Iniciar sesión y verificar las funcionalidades habilitadas para su perfil.</t>
  </si>
  <si>
    <t>El sistema autentica correctamente a ambos usuarios, determina su rol y permisos y habilita únicamente las funcionalidades correspondientes al perfil autorizado.</t>
  </si>
  <si>
    <t>Pendiente de ejecución</t>
  </si>
  <si>
    <t>Autenticación y control de acceso</t>
  </si>
  <si>
    <t>No ejecutado</t>
  </si>
  <si>
    <t>Rubén Mansilla</t>
  </si>
  <si>
    <t>Media</t>
  </si>
  <si>
    <t>CP1.2</t>
  </si>
  <si>
    <t>RF-01</t>
  </si>
  <si>
    <t>Rechazo de autenticación inválida</t>
  </si>
  <si>
    <t>1- Acceder a la pantalla de autenticación.
2- Ingresar credenciales incorrectas.
3- Intentar iniciar sesión.
4- Verificar la respuesta del sistema.
5- Repetir con una cuenta deshabilitada, si está disponible en el entorno de pruebas.</t>
  </si>
  <si>
    <t>El sistema rechaza el acceso, no crea una sesión válida e informa la situación sin revelar información sensible.</t>
  </si>
  <si>
    <t>Autenticación</t>
  </si>
  <si>
    <t>Baja</t>
  </si>
  <si>
    <t>CP1.3</t>
  </si>
  <si>
    <t>Restricción de acceso sin sesión o permisos suficientes</t>
  </si>
  <si>
    <t>No Funcional</t>
  </si>
  <si>
    <t>1- Intentar acceder a una funcionalidad protegida sin iniciar sesión.
2- Verificar que el acceso sea bloqueado.
3- Iniciar sesión como Técnico de Soporte.
4- Intentar acceder a una funcionalidad reservada a un perfil con mayores permisos, como la administración de cuentas.
5- Verificar la respuesta.</t>
  </si>
  <si>
    <t>El sistema bloquea el acceso a funcionalidades protegidas sin sesión válida y también impide ejecutar operaciones cuando el usuario autenticado no dispone de los permisos necesarios.</t>
  </si>
  <si>
    <t>Control de acceso</t>
  </si>
  <si>
    <t>CP2.1</t>
  </si>
  <si>
    <t>RF-02</t>
  </si>
  <si>
    <t>Visualización de Dashboard e indicadores de gestión</t>
  </si>
  <si>
    <t>1- Iniciar sesión con un usuario autorizado.
2- Acceder al Dashboard.
3- Visualizar los indicadores implementados relacionados con cantidad, disponibilidad, asignación, estado y antigüedad.
4- Comparar los valores con la información disponible del inventario.
5- Verificar las representaciones gráficas.
6- Cuando sea posible, probar un escenario con información insuficiente.</t>
  </si>
  <si>
    <t>El sistema presenta indicadores y representaciones gráficas coherentes con la información disponible. Si no existen datos suficientes para un indicador, informa que no hay información disponible y evita mostrar resultados incorrectos.</t>
  </si>
  <si>
    <t>Dashboard</t>
  </si>
  <si>
    <t>Alejandro Gysling</t>
  </si>
  <si>
    <t>CP3.1</t>
  </si>
  <si>
    <t>RF-03</t>
  </si>
  <si>
    <t>Exportación de reportes de gestión</t>
  </si>
  <si>
    <t>1- Iniciar sesión con un usuario autorizado.
2- Acceder a una consulta o reporte disponible.
3- Aplicar criterios de filtrado, si corresponde.
4- Solicitar la exportación.
5- Verificar que se genere el archivo.
6- Abrirlo y comprobar que corresponda a la consulta realizada.
7- Repetir en una consulta sin datos disponibles.</t>
  </si>
  <si>
    <t>El sistema genera un archivo en el formato de exportación habilitado por GATI con la información correspondiente. Si no existen datos o ocurre un error, informa la situación y evita generar un archivo incompleto o inconsistente.</t>
  </si>
  <si>
    <t>Reportes / Exportación</t>
  </si>
  <si>
    <t>CP4.1</t>
  </si>
  <si>
    <t>RF-04 / RNF-17</t>
  </si>
  <si>
    <t>Integración correcta de una orden de compra</t>
  </si>
  <si>
    <t>1- Disponer de una orden de compra válida mediante el mecanismo de integración habilitado.
2- Ejecutar o provocar el proceso de integración.
3- Permitir que GATI reciba u obtenga la información.
4- Verificar la validación de los datos necesarios.
5- Consultar la orden incorporada en GATI.
6- Verificar que quede disponible para las operaciones de inventario.</t>
  </si>
  <si>
    <t>GATI recibe u obtiene la información válida de la orden de compra, valida los datos necesarios, registra sus antecedentes y deja la orden disponible para las operaciones de inventario correspondientes.</t>
  </si>
  <si>
    <t>Integración de Compras</t>
  </si>
  <si>
    <t>Eduardo Compan</t>
  </si>
  <si>
    <t>Alta</t>
  </si>
  <si>
    <t>CP4.2</t>
  </si>
  <si>
    <t>Manejo de errores en la integración de compras</t>
  </si>
  <si>
    <t>1- Ejecutar una integración con información inválida o datos necesarios faltantes.
2- Verificar la respuesta.
3- Comprobar que no se incorpore información incompleta.
4- Verificar que la información existente permanezca consistente.
5- Simular indisponibilidad del sistema externo.
6- Ejecutar nuevamente la integración.
7- Verificar que la operación fallida no se presente como completada y comprobar el mecanismo seguro definido para la comunicación.</t>
  </si>
  <si>
    <t>GATI impide registros incompletos o inválidos, conserva la consistencia de la información e informa o registra el resultado de la integración. Ante indisponibilidad externa, no presenta la operación como completada. La comunicación utiliza el mecanismo seguro definido y, si se basa en HTTP, emplea HTTPS.</t>
  </si>
  <si>
    <t>CP5.1</t>
  </si>
  <si>
    <t>RF-05</t>
  </si>
  <si>
    <t>Consulta de inventario por Orden de Compra</t>
  </si>
  <si>
    <t>1- Iniciar sesión con un usuario autorizado.
2- Acceder al inventario.
3- Consultar una Orden de Compra existente.
4- Seleccionar la OC encontrada.
5- Verificar los activos o licencias relacionados.
6- Comprobar sus antecedentes disponibles.
7- Buscar una OC inexistente.</t>
  </si>
  <si>
    <t>GATI muestra la Orden de Compra consultada y los activos o licencias asociados con los antecedentes disponibles. Si no existen registros coincidentes, informa que no hay resultados para los criterios ingresados.</t>
  </si>
  <si>
    <t>Inventario / Órdenes de Compra</t>
  </si>
  <si>
    <t>Carlos Araya</t>
  </si>
  <si>
    <t>CP6.1</t>
  </si>
  <si>
    <t>RF-06 / RNF-18</t>
  </si>
  <si>
    <t>Consulta de información e historial de un activo</t>
  </si>
  <si>
    <t>1- Iniciar sesión con un usuario autorizado.
2- Acceder al inventario.
3- Buscar o seleccionar un activo registrado.
4- Abrir su detalle individual.
5- Verificar identificador, Orden de Compra de origen, estado actual y responsable cuando corresponda.
6- Consultar el historial.
7- Comparar los movimientos con las operaciones realizadas.
8- Consultar, si existe, un activo sin movimientos posteriores a su incorporación.</t>
  </si>
  <si>
    <t>GATI presenta la información individual y los movimientos realmente registrados. Para un activo sin movimientos posteriores a su incorporación muestra únicamente los antecedentes y eventos existentes, sin generar información inexistente.</t>
  </si>
  <si>
    <t>Inventario / Historial de Activos</t>
  </si>
  <si>
    <t>CP7.1</t>
  </si>
  <si>
    <t>RF-07</t>
  </si>
  <si>
    <t>Gestión y validación de licencias de software</t>
  </si>
  <si>
    <t>1- Acceder al módulo de Licencias de Software.
2- Registrar una licencia con información válida.
3- Consultar la licencia registrada.
4- Verificar adquisición, disponibilidad, asignación y vigencia cuando corresponda.
5- Ejecutar una operación válida y comprobar la actualización.
6- Seleccionar una licencia no disponible o fuera de vigencia.
7- Intentar una operación que requiera una licencia válida.</t>
  </si>
  <si>
    <t>GATI permite registrar, consultar y gestionar licencias válidas manteniendo actualizada su información. Si una licencia no está disponible o ha superado su vigencia registrada, impide las operaciones que requieran una licencia válida e informa la condición.</t>
  </si>
  <si>
    <t>Licencias de Software</t>
  </si>
  <si>
    <t>CP8.1</t>
  </si>
  <si>
    <t>RF-08</t>
  </si>
  <si>
    <t>Consulta de activos y licencias asociados a un funcionario</t>
  </si>
  <si>
    <t>1- Acceder al módulo correspondiente a funcionarios.
2- Buscar un funcionario con elementos asignados.
3- Consultar sus activos y licencias.
4- Verificar identificadores, características principales, fechas de asignación y antecedentes disponibles.
5- Seleccionar un funcionario sin elementos asignados.
6- Consultar nuevamente.</t>
  </si>
  <si>
    <t>GATI muestra los activos y licencias actualmente asociados al funcionario junto con la información disponible de sus asignaciones. Si no posee elementos asignados, informa que no existen activos o licencias actualmente bajo su responsabilidad.</t>
  </si>
  <si>
    <t>Usuarios / Inventario asignado</t>
  </si>
  <si>
    <t>CP9.1</t>
  </si>
  <si>
    <t>RF-09 / RNF-16 / RNF-18</t>
  </si>
  <si>
    <t>Asignación de activo o licencia disponible</t>
  </si>
  <si>
    <t>1- Acceder al módulo de asignaciones.
2- Seleccionar un funcionario.
3- Seleccionar un activo o licencia disponible.
4- Solicitar y confirmar la asignación.
5- Consultar nuevamente el elemento.
6- Verificar estado y responsable.
7- Consultar el historial.
8- Verificar el movimiento con fecha y hora.</t>
  </si>
  <si>
    <t>GATI comprueba la disponibilidad, registra la asignación, actualiza estado y responsable y registra el movimiento con fecha y hora en el historial.</t>
  </si>
  <si>
    <t>Asignaciones y Devoluciones</t>
  </si>
  <si>
    <t>CP9.2</t>
  </si>
  <si>
    <t>RF-09 / RNF-18</t>
  </si>
  <si>
    <t>Devolución y validación de estados incompatibles</t>
  </si>
  <si>
    <t>1- Seleccionar un elemento con asignación vigente.
2- Solicitar y confirmar su devolución.
3- Consultar nuevamente el elemento.
4- Verificar estado y responsable.
5- Consultar el historial y verificar la devolución con fecha y hora.
6- Intentar devolver nuevamente el mismo elemento sin asignación vigente.
7- Intentar asignar un elemento cuyo estado no permita una nueva asignación.</t>
  </si>
  <si>
    <t>La devolución válida actualiza estado, responsable e historial. Cuando la operación solicitada es incompatible con el estado actual del elemento, GATI impide su ejecución e informa la causa.</t>
  </si>
  <si>
    <t>CP10.1</t>
  </si>
  <si>
    <t>RF-10</t>
  </si>
  <si>
    <t>Generación y validación de acta de entrega/devolución</t>
  </si>
  <si>
    <t>1- Ejecutar o seleccionar una operación válida de entrega o devolución.
2- Solicitar la generación del acta.
3- Verificar los antecedentes de la operación, funcionario y activos asociados.
4- Revisar el acta generada.
5- Registrar la conformidad según el flujo habilitado.
6- Verificar que el acta quede disponible como evidencia.
7- Repetir con una operación a la que le falte un antecedente obligatorio.
8- Intentar completar el proceso.</t>
  </si>
  <si>
    <t>GATI genera el acta correspondiente, permite su revisión y conformidad y la conserva como evidencia una vez completado el proceso. Si faltan antecedentes obligatorios, impide completar el proceso e informa los datos requeridos.</t>
  </si>
  <si>
    <t>Actas</t>
  </si>
  <si>
    <t>CP11.1</t>
  </si>
  <si>
    <t>RF-11 / RNF-18</t>
  </si>
  <si>
    <t>Registro y control de un activo dado de baja</t>
  </si>
  <si>
    <t>1- Buscar y seleccionar un activo registrado.
2- Ejecutar la operación de baja con la información requerida.
3- Confirmar la operación.
4- Consultar nuevamente el activo y verificar su estado.
5- Consultar sus antecedentes e historial.
6- Verificar que no esté disponible para nuevas asignaciones.
7- Intentar asignar el activo dado de baja.</t>
  </si>
  <si>
    <t>GATI registra la baja, actualiza el estado y conserva los antecedentes históricos. El activo deja de estar disponible para nuevas asignaciones y cualquier intento de asignarlo mientras mantenga la baja es rechazado.</t>
  </si>
  <si>
    <t>Inventario / Baja de Activos</t>
  </si>
  <si>
    <t>CP12.1</t>
  </si>
  <si>
    <t>RF-12</t>
  </si>
  <si>
    <t>Búsqueda y consulta utilizando múltiples criterios</t>
  </si>
  <si>
    <t>1- Acceder a la funcionalidad de búsqueda.
2- Buscar utilizando un criterio habilitado.
3- Verificar los resultados.
4- Repetir combinando dos o más criterios habilitados.
5- Verificar que los resultados cumplan las condiciones.
6- Buscar con criterios sin coincidencias.
7- Ingresar un criterio inválido cuando el campo lo permita.
8- Verificar que sea posible modificar la consulta.</t>
  </si>
  <si>
    <t>GATI recupera los registros coincidentes con los criterios aplicados. Si no existen resultados o los criterios son inválidos, informa la situación y permite modificar la consulta.</t>
  </si>
  <si>
    <t>Búsqueda / Consultas</t>
  </si>
  <si>
    <t>CP13.1</t>
  </si>
  <si>
    <t>RF-13</t>
  </si>
  <si>
    <t>Identificación y consulta de activo desde dispositivo móvil</t>
  </si>
  <si>
    <t>1- Iniciar sesión en la interfaz móvil como Técnico de Soporte.
2- Acceder a la identificación de activos.
3- Utilizar el mecanismo de captura habilitado.
4- Ejecutar la consulta.
5- Verificar que se localice el activo.
6- Comprobar identificación, estado actual, responsable cuando corresponda e historial disponible.</t>
  </si>
  <si>
    <t>GATI identifica correctamente el activo a partir del identificador capturado y presenta la información disponible correspondiente, incluyendo identificación, estado, responsable cuando corresponda e historial.</t>
  </si>
  <si>
    <t>Aplicación Móvil / Consulta de Activos</t>
  </si>
  <si>
    <t>CP13.2</t>
  </si>
  <si>
    <t>RF-13 / RNF-22</t>
  </si>
  <si>
    <t>Manejo de fallo de identificación y consulta alternativa</t>
  </si>
  <si>
    <t>1- Acceder a la identificación de activos.
2- Intentar una captura que no permita obtener correctamente el identificador.
3- Verificar que GATI informe la situación.
4- Utilizar un mecanismo alternativo habilitado, como ingreso manual.
5- Ingresar un identificador válido y consultar.
6- Verificar la recuperación de información.
7- Ingresar un identificador no registrado.
8- Verificar la respuesta.</t>
  </si>
  <si>
    <t>Cuando el identificador no puede capturarse, GATI informa la situación y permite utilizar los mecanismos alternativos disponibles. Un identificador válido recupera el activo correspondiente y uno no registrado genera una información adecuada al usuario.</t>
  </si>
  <si>
    <t>CP14.1</t>
  </si>
  <si>
    <t>RF-14 / RNF-15</t>
  </si>
  <si>
    <t>Gestión de cuentas, roles y permisos</t>
  </si>
  <si>
    <t>1- Iniciar sesión con un usuario autorizado para administrar cuentas.
2- Acceder al módulo correspondiente.
3- Registrar una nueva cuenta con datos válidos.
4- Asignar uno de los roles definidos para GATI.
5- Verificar el registro.
6- Modificar la cuenta mediante una operación habilitada.
7- Verificar que los cambios se conserven.
8- Validar que los permisos correspondan al rol.
9- Intentar registrar datos inválidos o una cuenta ya existente.
10- Verificar el rechazo.</t>
  </si>
  <si>
    <t>GATI permite a un usuario autorizado registrar y mantener cuentas, asociar roles y aplicar los permisos correspondientes. Datos inválidos o una cuenta existente provocan el rechazo de la operación y se informa la situación.</t>
  </si>
  <si>
    <t>Administración de Usuarios</t>
  </si>
  <si>
    <t>CP16.1</t>
  </si>
  <si>
    <t>RNF-16</t>
  </si>
  <si>
    <t>Persistencia y consistencia de la información</t>
  </si>
  <si>
    <t>1- Iniciar sesión en GATI.
2- Ejecutar una operación que genere o modifique información persistente, por ejemplo una asignación.
3- Confirmar que se complete.
4- Consultar el elemento y verificar la información actualizada.
5- Cerrar sesión.
6- Iniciar nuevamente una sesión.
7- Consultar otra vez el mismo elemento.
8- Verificar que la información continúe disponible.
9- Comprobar coherencia entre estado, responsable e historial.</t>
  </si>
  <si>
    <t>La operación confirmada permanece almacenada y puede recuperarse posteriormente sin pérdida ni inconsistencias. Los datos relacionados mantienen correspondencia entre sí.</t>
  </si>
  <si>
    <t>Persistencia / Transversal</t>
  </si>
  <si>
    <t>CP18.1</t>
  </si>
  <si>
    <t>RNF-18</t>
  </si>
  <si>
    <t>Trazabilidad de operaciones del ciclo de vida</t>
  </si>
  <si>
    <t>1- Seleccionar un activo utilizado en pruebas de asignación/devolución.
2- Consultar su historial.
3- Localizar los movimientos realizados.
4- Verificar tipo de operación, elemento afectado, usuario responsable, fecha y hora y cambios de estado cuando corresponda.
5- Comprobar que un usuario sin permisos no pueda modificar los registros de trazabilidad.</t>
  </si>
  <si>
    <t>GATI conserva registros suficientes para reconstruir las operaciones, incluyendo tipo de operación, elemento afectado, usuario responsable, fecha/hora y cambios de estado cuando corresponda. El acceso o modificación queda restringido según permisos.</t>
  </si>
  <si>
    <t>Historial / Trazabilidad</t>
  </si>
  <si>
    <t>CP19.1</t>
  </si>
  <si>
    <t>RNF-19</t>
  </si>
  <si>
    <t>Compatibilidad de interfaces Web y Móvil</t>
  </si>
  <si>
    <t>1- Acceder a GATI Web desde un navegador definido como compatible.
2- Ejecutar las funcionalidades principales del entorno web.
3- Verificar navegación, visualización y operaciones.
4- Repetir en los demás navegadores definidos para pruebas, si corresponde.
5- Ejecutar GATI Móvil en un dispositivo del entorno de pruebas.
6- Verificar interacción táctil.
7- Ejecutar una función que utilice una capacidad requerida del dispositivo.</t>
  </si>
  <si>
    <t>Las funcionalidades web operan en los navegadores definidos como compatibles y la interfaz móvil permite interacción táctil y acceso a las capacidades del dispositivo requeridas por las funciones habilitadas.</t>
  </si>
  <si>
    <t>Interfaces Web / Móvil</t>
  </si>
  <si>
    <t>CP20.1</t>
  </si>
  <si>
    <t>RNF-20</t>
  </si>
  <si>
    <t>Usabilidad y consistencia de las interfaces</t>
  </si>
  <si>
    <t>1- Recorrer los principales flujos de GATI.
2- Revisar formularios con datos obligatorios.
3- Intentar continuar dejando un dato obligatorio vacío.
4- Ingresar información inválida en campos que posean validación.
5- Verificar validación previa a la operación.
6- Ejecutar una operación válida y revisar su confirmación.
7- Provocar una advertencia o error cuando sea posible.
8- Verificar que el mensaje sea comprensible.
9- Comparar elementos equivalentes entre interfaces.</t>
  </si>
  <si>
    <t>Los formularios identifican datos obligatorios, validan la información antes de ejecutar operaciones y presentan mensajes comprensibles de confirmación, advertencia o error. Los elementos equivalentes mantienen comportamiento y presentación consistentes.</t>
  </si>
  <si>
    <t>Interfaces / Transversal</t>
  </si>
  <si>
    <t>CP22.1</t>
  </si>
  <si>
    <t>RNF-22</t>
  </si>
  <si>
    <t>Manejo de pérdida de conectividad</t>
  </si>
  <si>
    <t>1- Con conectividad disponible, iniciar una operación que utilice servicios centrales.
2- Verificar que pueda completarse normalmente.
3- Preparar nuevamente la operación.
4- Interrumpir la conectividad antes o durante su procesamiento.
5- Intentar completar la operación.
6- Verificar el mensaje presentado.
7- Restablecer la conectividad.
8- Consultar el estado de la información.
9- Comprobar que una operación no procesada correctamente no figure como completada.</t>
  </si>
  <si>
    <t>Cuando una operación no puede completarse por pérdida o indisponibilidad de red, GATI informa la situación y evita presentarla como completada si la información no fue procesada correctamente.</t>
  </si>
  <si>
    <t>Conectividad / Transversal</t>
  </si>
  <si>
    <t>CONTROL DE CASOS DE PRUEBA — GATI</t>
  </si>
  <si>
    <t>Estado</t>
  </si>
  <si>
    <t>Cantidad</t>
  </si>
  <si>
    <t>Cobertura</t>
  </si>
  <si>
    <t>Método de verificación</t>
  </si>
  <si>
    <t>Estado inicial</t>
  </si>
  <si>
    <t>OK</t>
  </si>
  <si>
    <t>RNF-15</t>
  </si>
  <si>
    <t>CP1.1 / CP1.3 / CP14.1</t>
  </si>
  <si>
    <t>Cubierto por casos existentes</t>
  </si>
  <si>
    <t>NOK</t>
  </si>
  <si>
    <t>CP9.1 / CP16.1</t>
  </si>
  <si>
    <t>Caso específico + funcional</t>
  </si>
  <si>
    <t>RNF-17</t>
  </si>
  <si>
    <t>CP4.1 / CP4.2</t>
  </si>
  <si>
    <t>Cubierto por integración</t>
  </si>
  <si>
    <t>Bloqueado</t>
  </si>
  <si>
    <t>CP6.1 / CP9.1 / CP9.2 / CP11.1 / CP18.1</t>
  </si>
  <si>
    <t>Caso específico + funcionales</t>
  </si>
  <si>
    <t>Obsoleto</t>
  </si>
  <si>
    <t>Caso específico</t>
  </si>
  <si>
    <t>Total de casos</t>
  </si>
  <si>
    <t>RNF-21</t>
  </si>
  <si>
    <t>Revisión DAS + implementación</t>
  </si>
  <si>
    <t>Revisión técnica/arquitectónica</t>
  </si>
  <si>
    <t>CP13.2 / CP22.1</t>
  </si>
  <si>
    <t>Caso específico + móvil</t>
  </si>
  <si>
    <t>% de avance</t>
  </si>
  <si>
    <t>Responsable</t>
  </si>
  <si>
    <t>Casos</t>
  </si>
  <si>
    <t>Sí/No</t>
  </si>
  <si>
    <t>SI</t>
  </si>
  <si>
    <t>NO</t>
  </si>
  <si>
    <t>UAT</t>
  </si>
  <si>
    <t>Código</t>
  </si>
  <si>
    <t>End to End</t>
  </si>
  <si>
    <t>Stress</t>
  </si>
  <si>
    <t>Rendimiento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</si>
</sst>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>
    <font>
      <sz val="11"/>
      <name val="Carlito"/>
    </font>
    <font>
      <b/>
      <sz val="11"/>
      <color rgb="FFFFFFFF"/>
      <name val="Carlito"/>
    </font>
    <font>
      <b/>
      <sz val="14"/>
      <color rgb="FFFFFFFF"/>
      <name val="Carlito"/>
    </font>
    <font>
      <b/>
      <sz val="11"/>
      <name val="Carlito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theme="0"/>
        <bgColor indexed="64"/>
      </patternFill>
    </fill>
  </fills>
  <borders count="10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/>
      <bottom style="thin">
        <color indexed="64"/>
      </bottom>
      <diagonal/>
    </border>
    <border>
      <left style="thin">
        <color indexed="64"/>
      </left>
      <right/>
      <top/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  <border>
      <left/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/>
      <diagonal/>
    </border>
    <border>
      <left style="thin">
        <color indexed="64"/>
      </left>
      <right/>
      <top style="thin">
        <color indexed="64"/>
      </top>
      <bottom/>
      <diagonal/>
    </border>
  </borders>
  <cellStyleXfs count="1">
    <xf numFmtId="0" fontId="0" fillId="0" borderId="0"/>
  </cellStyleXfs>
  <cellXfs count="20">
    <xf numFmtId="0" fontId="0" fillId="0" borderId="0" xfId="0"/>
    <xf numFmtId="0" fontId="1" fillId="2" borderId="0" xfId="0" applyFont="1" applyFill="1" applyAlignment="1">
      <alignment wrapText="1"/>
    </xf>
    <xf numFmtId="0" fontId="0" fillId="0" borderId="0" xfId="0" applyAlignment="1">
      <alignment wrapText="1"/>
    </xf>
    <xf numFmtId="9" fontId="0" fillId="0" borderId="0" xfId="0" applyNumberFormat="1"/>
    <xf numFmtId="0" fontId="3" fillId="3" borderId="0" xfId="0" applyFont="1" applyFill="1"/>
    <xf numFmtId="0" fontId="3" fillId="3" borderId="0" xfId="0" applyFont="1" applyFill="1" applyAlignment="1">
      <alignment horizontal="center"/>
    </xf>
    <xf numFmtId="0" fontId="3" fillId="0" borderId="0" xfId="0" applyFont="1"/>
    <xf numFmtId="0" fontId="2" fillId="2" borderId="0" xfId="0" applyFont="1" applyFill="1" applyAlignment="1">
      <alignment horizontal="center"/>
    </xf>
    <xf numFmtId="0" fontId="1" fillId="2" borderId="2" xfId="0" applyFont="1" applyFill="1" applyBorder="1" applyAlignment="1">
      <alignment horizontal="center" vertical="center" wrapText="1"/>
    </xf>
    <xf numFmtId="0" fontId="1" fillId="2" borderId="3" xfId="0" applyFont="1" applyFill="1" applyBorder="1" applyAlignment="1">
      <alignment horizontal="center" vertical="center" wrapText="1"/>
    </xf>
    <xf numFmtId="0" fontId="1" fillId="2" borderId="4" xfId="0" applyFont="1" applyFill="1" applyBorder="1" applyAlignment="1">
      <alignment horizontal="center" vertical="center" wrapText="1"/>
    </xf>
    <xf numFmtId="0" fontId="0" fillId="4" borderId="5" xfId="0" applyFill="1" applyBorder="1" applyAlignment="1">
      <alignment vertical="top" wrapText="1"/>
    </xf>
    <xf numFmtId="0" fontId="0" fillId="4" borderId="1" xfId="0" applyFill="1" applyBorder="1" applyAlignment="1">
      <alignment vertical="top" wrapText="1"/>
    </xf>
    <xf numFmtId="0" fontId="0" fillId="4" borderId="6" xfId="0" applyFill="1" applyBorder="1" applyAlignment="1">
      <alignment vertical="top" wrapText="1"/>
    </xf>
    <xf numFmtId="0" fontId="0" fillId="0" borderId="5" xfId="0" applyBorder="1" applyAlignment="1">
      <alignment vertical="top" wrapText="1"/>
    </xf>
    <xf numFmtId="0" fontId="0" fillId="0" borderId="1" xfId="0" applyBorder="1" applyAlignment="1">
      <alignment vertical="top" wrapText="1"/>
    </xf>
    <xf numFmtId="0" fontId="0" fillId="0" borderId="6" xfId="0" applyBorder="1" applyAlignment="1">
      <alignment vertical="top" wrapText="1"/>
    </xf>
    <xf numFmtId="0" fontId="0" fillId="0" borderId="7" xfId="0" applyBorder="1" applyAlignment="1">
      <alignment vertical="top" wrapText="1"/>
    </xf>
    <xf numFmtId="0" fontId="0" fillId="0" borderId="8" xfId="0" applyBorder="1" applyAlignment="1">
      <alignment vertical="top" wrapText="1"/>
    </xf>
    <xf numFmtId="0" fontId="0" fillId="0" borderId="9" xfId="0" applyBorder="1" applyAlignment="1">
      <alignment vertical="top" wrapText="1"/>
    </xf>
  </cellXfs>
  <cellStyles count="1">
    <cellStyle name="Normal" xfId="0" builtinId="0"/>
  </cellStyles>
  <dxfs count="20">
    <dxf>
      <border diagonalUp="0" diagonalDown="0">
        <left style="thin">
          <color indexed="64"/>
        </left>
        <right style="thin">
          <color indexed="64"/>
        </right>
        <top/>
        <bottom/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/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 diagonalUp="0" diagonalDown="0">
        <left/>
        <right style="thin">
          <color indexed="64"/>
        </right>
        <top style="thin">
          <color indexed="64"/>
        </top>
        <bottom style="thin">
          <color indexed="64"/>
        </bottom>
        <vertical style="thin">
          <color indexed="64"/>
        </vertical>
        <horizontal style="thin">
          <color indexed="64"/>
        </horizontal>
      </border>
    </dxf>
    <dxf>
      <border>
        <top style="thin">
          <color indexed="64"/>
        </top>
      </border>
    </dxf>
    <dxf>
      <border>
        <bottom style="thin">
          <color indexed="64"/>
        </bottom>
      </border>
    </dxf>
    <dxf>
      <border diagonalUp="0" diagonalDown="0">
        <left style="thin">
          <color indexed="64"/>
        </left>
        <right style="thin">
          <color indexed="64"/>
        </right>
        <top style="thin">
          <color indexed="64"/>
        </top>
        <bottom style="thin">
          <color indexed="64"/>
        </bottom>
      </border>
    </dxf>
    <dxf>
      <fill>
        <patternFill>
          <bgColor rgb="FFD9E1F2"/>
        </patternFill>
      </fill>
    </dxf>
    <dxf>
      <fill>
        <patternFill>
          <bgColor rgb="FFF4B183"/>
        </patternFill>
      </fill>
    </dxf>
    <dxf>
      <font>
        <color rgb="FF7F6000"/>
      </font>
      <fill>
        <patternFill>
          <bgColor rgb="FFFFF2CC"/>
        </patternFill>
      </fill>
    </dxf>
    <dxf>
      <font>
        <color rgb="FF9C0006"/>
      </font>
      <fill>
        <patternFill>
          <bgColor rgb="FFFFC7CE"/>
        </patternFill>
      </fill>
    </dxf>
    <dxf>
      <font>
        <color rgb="FF006100"/>
      </font>
      <fill>
        <patternFill>
          <bgColor rgb="FFC6EF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CasosPruebaGATI" displayName="CasosPruebaGATI" ref="A1:K25" totalsRowShown="0" headerRowDxfId="0" headerRowBorderDxfId="13" tableBorderDxfId="14" totalsRowBorderDxfId="12">
  <tableColumns count="11">
    <tableColumn id="1" xr3:uid="{00000000-0010-0000-0000-000001000000}" name="ID" dataDxfId="11"/>
    <tableColumn id="2" xr3:uid="{00000000-0010-0000-0000-000002000000}" name="Requisito asociado" dataDxfId="10"/>
    <tableColumn id="3" xr3:uid="{00000000-0010-0000-0000-000003000000}" name="Nombre de la prueba" dataDxfId="9"/>
    <tableColumn id="4" xr3:uid="{00000000-0010-0000-0000-000004000000}" name="Tipo" dataDxfId="8"/>
    <tableColumn id="5" xr3:uid="{00000000-0010-0000-0000-000005000000}" name="Pasos de Prueba" dataDxfId="7"/>
    <tableColumn id="6" xr3:uid="{00000000-0010-0000-0000-000006000000}" name="Resultado esperado" dataDxfId="6"/>
    <tableColumn id="7" xr3:uid="{00000000-0010-0000-0000-000007000000}" name="Resultado obtenido" dataDxfId="5"/>
    <tableColumn id="8" xr3:uid="{00000000-0010-0000-0000-000008000000}" name="Módulo a probar" dataDxfId="4"/>
    <tableColumn id="9" xr3:uid="{00000000-0010-0000-0000-000009000000}" name="Resultado" dataDxfId="3"/>
    <tableColumn id="10" xr3:uid="{00000000-0010-0000-0000-00000A000000}" name="Responsable ejecución" dataDxfId="2"/>
    <tableColumn id="11" xr3:uid="{00000000-0010-0000-0000-00000B000000}" name="Complejidad" dataDxfId="1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ChatGPT">
  <a:themeElements>
    <a:clrScheme name="ChatGPT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Calibri Light"/>
        <a:ea typeface="Calibri Light"/>
        <a:cs typeface="Calibri Light"/>
      </a:majorFont>
      <a:minorFont>
        <a:latin typeface="Calibri"/>
        <a:ea typeface="Calibri"/>
        <a:cs typeface="Calibri"/>
      </a:minorFont>
    </a:fontScheme>
    <a:fmtScheme name="ChatGPT">
      <a:fillStyleLst>
        <a:solidFill>
          <a:schemeClr val="phClr"/>
        </a:solidFill>
        <a:gradFill>
          <a:gsLst>
            <a:gs pos="0">
              <a:schemeClr val="phClr">
                <a:tint val="67000"/>
                <a:lumMod val="110000"/>
                <a:satMod val="105000"/>
              </a:schemeClr>
            </a:gs>
            <a:gs pos="50000">
              <a:schemeClr val="phClr">
                <a:tint val="73000"/>
                <a:lumMod val="105000"/>
                <a:satMod val="103000"/>
              </a:schemeClr>
            </a:gs>
            <a:gs pos="100000">
              <a:schemeClr val="phClr">
                <a:tint val="81000"/>
                <a:lumMod val="105000"/>
                <a:satMod val="109000"/>
              </a:schemeClr>
            </a:gs>
          </a:gsLst>
          <a:lin ang="5400000" scaled="0"/>
        </a:gradFill>
        <a:gradFill>
          <a:gsLst>
            <a:gs pos="0">
              <a:schemeClr val="phClr">
                <a:tint val="94000"/>
                <a:lumMod val="102000"/>
                <a:satMod val="103000"/>
              </a:schemeClr>
            </a:gs>
            <a:gs pos="50000">
              <a:schemeClr val="phClr">
                <a:shade val="100000"/>
                <a:lumMod val="100000"/>
                <a:satMod val="110000"/>
              </a:schemeClr>
            </a:gs>
            <a:gs pos="100000">
              <a:schemeClr val="phClr">
                <a:shade val="78000"/>
                <a:lumMod val="99000"/>
                <a:satMod val="120000"/>
              </a:schemeClr>
            </a:gs>
          </a:gsLst>
          <a:lin ang="5400000" scaled="0"/>
        </a:gradFill>
      </a:fillStyleLst>
      <a:lnStyleLst>
        <a:ln w="12700">
          <a:solidFill>
            <a:schemeClr val="phClr"/>
          </a:solidFill>
          <a:prstDash val="solid"/>
        </a:ln>
        <a:ln w="19050">
          <a:solidFill>
            <a:schemeClr val="phClr"/>
          </a:solidFill>
          <a:prstDash val="solid"/>
        </a:ln>
        <a:ln w="25400">
          <a:solidFill>
            <a:schemeClr val="phClr"/>
          </a:solidFill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>
          <a:gsLst>
            <a:gs pos="0">
              <a:schemeClr val="phClr">
                <a:tint val="93000"/>
                <a:shade val="98000"/>
                <a:lumMod val="102000"/>
                <a:satMod val="150000"/>
              </a:schemeClr>
            </a:gs>
            <a:gs pos="50000">
              <a:schemeClr val="phClr">
                <a:tint val="98000"/>
                <a:shade val="90000"/>
                <a:lumMod val="103000"/>
                <a:satMod val="130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K25"/>
  <sheetViews>
    <sheetView tabSelected="1" topLeftCell="A14" zoomScaleNormal="100" workbookViewId="0">
      <selection activeCell="Q4" sqref="Q4"/>
    </sheetView>
  </sheetViews>
  <sheetFormatPr baseColWidth="10" defaultColWidth="9" defaultRowHeight="14.25"/>
  <cols>
    <col min="1" max="1" width="10" customWidth="1"/>
    <col min="2" max="2" width="20" customWidth="1"/>
    <col min="3" max="3" width="34" customWidth="1"/>
    <col min="4" max="4" width="15" customWidth="1"/>
    <col min="5" max="6" width="58" customWidth="1"/>
    <col min="7" max="7" width="22" customWidth="1"/>
    <col min="8" max="8" width="30" customWidth="1"/>
    <col min="9" max="9" width="18" customWidth="1"/>
    <col min="10" max="10" width="22" customWidth="1"/>
    <col min="11" max="11" width="14" customWidth="1"/>
  </cols>
  <sheetData>
    <row r="1" spans="1:11" ht="33.950000000000003" customHeight="1">
      <c r="A1" s="8" t="s">
        <v>0</v>
      </c>
      <c r="B1" s="9" t="s">
        <v>1</v>
      </c>
      <c r="C1" s="9" t="s">
        <v>2</v>
      </c>
      <c r="D1" s="9" t="s">
        <v>3</v>
      </c>
      <c r="E1" s="9" t="s">
        <v>4</v>
      </c>
      <c r="F1" s="9" t="s">
        <v>5</v>
      </c>
      <c r="G1" s="9" t="s">
        <v>6</v>
      </c>
      <c r="H1" s="9" t="s">
        <v>7</v>
      </c>
      <c r="I1" s="9" t="s">
        <v>8</v>
      </c>
      <c r="J1" s="9" t="s">
        <v>9</v>
      </c>
      <c r="K1" s="10" t="s">
        <v>10</v>
      </c>
    </row>
    <row r="2" spans="1:11" ht="117.95" customHeight="1">
      <c r="A2" s="11" t="s">
        <v>11</v>
      </c>
      <c r="B2" s="12" t="s">
        <v>12</v>
      </c>
      <c r="C2" s="12" t="s">
        <v>13</v>
      </c>
      <c r="D2" s="12" t="s">
        <v>14</v>
      </c>
      <c r="E2" s="12" t="s">
        <v>15</v>
      </c>
      <c r="F2" s="12" t="s">
        <v>16</v>
      </c>
      <c r="G2" s="12" t="s">
        <v>17</v>
      </c>
      <c r="H2" s="12" t="s">
        <v>18</v>
      </c>
      <c r="I2" s="12" t="s">
        <v>19</v>
      </c>
      <c r="J2" s="12" t="s">
        <v>20</v>
      </c>
      <c r="K2" s="13" t="s">
        <v>21</v>
      </c>
    </row>
    <row r="3" spans="1:11" ht="117.95" customHeight="1">
      <c r="A3" s="14" t="s">
        <v>22</v>
      </c>
      <c r="B3" s="15" t="s">
        <v>23</v>
      </c>
      <c r="C3" s="15" t="s">
        <v>24</v>
      </c>
      <c r="D3" s="15" t="s">
        <v>14</v>
      </c>
      <c r="E3" s="15" t="s">
        <v>25</v>
      </c>
      <c r="F3" s="15" t="s">
        <v>26</v>
      </c>
      <c r="G3" s="15" t="s">
        <v>17</v>
      </c>
      <c r="H3" s="15" t="s">
        <v>27</v>
      </c>
      <c r="I3" s="15" t="s">
        <v>19</v>
      </c>
      <c r="J3" s="15" t="s">
        <v>20</v>
      </c>
      <c r="K3" s="16" t="s">
        <v>28</v>
      </c>
    </row>
    <row r="4" spans="1:11" ht="117.95" customHeight="1">
      <c r="A4" s="11" t="s">
        <v>29</v>
      </c>
      <c r="B4" s="12" t="s">
        <v>12</v>
      </c>
      <c r="C4" s="12" t="s">
        <v>30</v>
      </c>
      <c r="D4" s="12" t="s">
        <v>31</v>
      </c>
      <c r="E4" s="12" t="s">
        <v>32</v>
      </c>
      <c r="F4" s="12" t="s">
        <v>33</v>
      </c>
      <c r="G4" s="12" t="s">
        <v>17</v>
      </c>
      <c r="H4" s="12" t="s">
        <v>34</v>
      </c>
      <c r="I4" s="12" t="s">
        <v>19</v>
      </c>
      <c r="J4" s="12" t="s">
        <v>20</v>
      </c>
      <c r="K4" s="13" t="s">
        <v>21</v>
      </c>
    </row>
    <row r="5" spans="1:11" ht="117.95" customHeight="1">
      <c r="A5" s="14" t="s">
        <v>35</v>
      </c>
      <c r="B5" s="15" t="s">
        <v>36</v>
      </c>
      <c r="C5" s="15" t="s">
        <v>37</v>
      </c>
      <c r="D5" s="15" t="s">
        <v>14</v>
      </c>
      <c r="E5" s="15" t="s">
        <v>38</v>
      </c>
      <c r="F5" s="15" t="s">
        <v>39</v>
      </c>
      <c r="G5" s="15" t="s">
        <v>17</v>
      </c>
      <c r="H5" s="15" t="s">
        <v>40</v>
      </c>
      <c r="I5" s="15" t="s">
        <v>19</v>
      </c>
      <c r="J5" s="15" t="s">
        <v>41</v>
      </c>
      <c r="K5" s="16" t="s">
        <v>21</v>
      </c>
    </row>
    <row r="6" spans="1:11" ht="117.95" customHeight="1">
      <c r="A6" s="11" t="s">
        <v>42</v>
      </c>
      <c r="B6" s="12" t="s">
        <v>43</v>
      </c>
      <c r="C6" s="12" t="s">
        <v>44</v>
      </c>
      <c r="D6" s="12" t="s">
        <v>14</v>
      </c>
      <c r="E6" s="12" t="s">
        <v>45</v>
      </c>
      <c r="F6" s="12" t="s">
        <v>46</v>
      </c>
      <c r="G6" s="12" t="s">
        <v>17</v>
      </c>
      <c r="H6" s="12" t="s">
        <v>47</v>
      </c>
      <c r="I6" s="12" t="s">
        <v>19</v>
      </c>
      <c r="J6" s="12" t="s">
        <v>41</v>
      </c>
      <c r="K6" s="13" t="s">
        <v>28</v>
      </c>
    </row>
    <row r="7" spans="1:11" ht="117.95" customHeight="1">
      <c r="A7" s="14" t="s">
        <v>48</v>
      </c>
      <c r="B7" s="15" t="s">
        <v>49</v>
      </c>
      <c r="C7" s="15" t="s">
        <v>50</v>
      </c>
      <c r="D7" s="15" t="s">
        <v>14</v>
      </c>
      <c r="E7" s="15" t="s">
        <v>51</v>
      </c>
      <c r="F7" s="15" t="s">
        <v>52</v>
      </c>
      <c r="G7" s="15" t="s">
        <v>17</v>
      </c>
      <c r="H7" s="15" t="s">
        <v>53</v>
      </c>
      <c r="I7" s="15" t="s">
        <v>19</v>
      </c>
      <c r="J7" s="15" t="s">
        <v>54</v>
      </c>
      <c r="K7" s="16" t="s">
        <v>55</v>
      </c>
    </row>
    <row r="8" spans="1:11" ht="117.95" customHeight="1">
      <c r="A8" s="11" t="s">
        <v>56</v>
      </c>
      <c r="B8" s="12" t="s">
        <v>49</v>
      </c>
      <c r="C8" s="12" t="s">
        <v>57</v>
      </c>
      <c r="D8" s="12" t="s">
        <v>31</v>
      </c>
      <c r="E8" s="12" t="s">
        <v>58</v>
      </c>
      <c r="F8" s="12" t="s">
        <v>59</v>
      </c>
      <c r="G8" s="12" t="s">
        <v>17</v>
      </c>
      <c r="H8" s="12" t="s">
        <v>53</v>
      </c>
      <c r="I8" s="12" t="s">
        <v>19</v>
      </c>
      <c r="J8" s="12" t="s">
        <v>54</v>
      </c>
      <c r="K8" s="13" t="s">
        <v>55</v>
      </c>
    </row>
    <row r="9" spans="1:11" ht="117.95" customHeight="1">
      <c r="A9" s="14" t="s">
        <v>60</v>
      </c>
      <c r="B9" s="15" t="s">
        <v>61</v>
      </c>
      <c r="C9" s="15" t="s">
        <v>62</v>
      </c>
      <c r="D9" s="15" t="s">
        <v>14</v>
      </c>
      <c r="E9" s="15" t="s">
        <v>63</v>
      </c>
      <c r="F9" s="15" t="s">
        <v>64</v>
      </c>
      <c r="G9" s="15" t="s">
        <v>17</v>
      </c>
      <c r="H9" s="15" t="s">
        <v>65</v>
      </c>
      <c r="I9" s="15" t="s">
        <v>19</v>
      </c>
      <c r="J9" s="15" t="s">
        <v>66</v>
      </c>
      <c r="K9" s="16" t="s">
        <v>28</v>
      </c>
    </row>
    <row r="10" spans="1:11" ht="117.95" customHeight="1">
      <c r="A10" s="11" t="s">
        <v>67</v>
      </c>
      <c r="B10" s="12" t="s">
        <v>68</v>
      </c>
      <c r="C10" s="12" t="s">
        <v>69</v>
      </c>
      <c r="D10" s="12" t="s">
        <v>14</v>
      </c>
      <c r="E10" s="12" t="s">
        <v>70</v>
      </c>
      <c r="F10" s="12" t="s">
        <v>71</v>
      </c>
      <c r="G10" s="12" t="s">
        <v>17</v>
      </c>
      <c r="H10" s="12" t="s">
        <v>72</v>
      </c>
      <c r="I10" s="12" t="s">
        <v>19</v>
      </c>
      <c r="J10" s="12" t="s">
        <v>66</v>
      </c>
      <c r="K10" s="13" t="s">
        <v>21</v>
      </c>
    </row>
    <row r="11" spans="1:11" ht="117.95" customHeight="1">
      <c r="A11" s="14" t="s">
        <v>73</v>
      </c>
      <c r="B11" s="15" t="s">
        <v>74</v>
      </c>
      <c r="C11" s="15" t="s">
        <v>75</v>
      </c>
      <c r="D11" s="15" t="s">
        <v>14</v>
      </c>
      <c r="E11" s="15" t="s">
        <v>76</v>
      </c>
      <c r="F11" s="15" t="s">
        <v>77</v>
      </c>
      <c r="G11" s="15" t="s">
        <v>17</v>
      </c>
      <c r="H11" s="15" t="s">
        <v>78</v>
      </c>
      <c r="I11" s="15" t="s">
        <v>19</v>
      </c>
      <c r="J11" s="15" t="s">
        <v>66</v>
      </c>
      <c r="K11" s="16" t="s">
        <v>21</v>
      </c>
    </row>
    <row r="12" spans="1:11" ht="117.95" customHeight="1">
      <c r="A12" s="11" t="s">
        <v>79</v>
      </c>
      <c r="B12" s="12" t="s">
        <v>80</v>
      </c>
      <c r="C12" s="12" t="s">
        <v>81</v>
      </c>
      <c r="D12" s="12" t="s">
        <v>14</v>
      </c>
      <c r="E12" s="12" t="s">
        <v>82</v>
      </c>
      <c r="F12" s="12" t="s">
        <v>83</v>
      </c>
      <c r="G12" s="12" t="s">
        <v>17</v>
      </c>
      <c r="H12" s="12" t="s">
        <v>84</v>
      </c>
      <c r="I12" s="12" t="s">
        <v>19</v>
      </c>
      <c r="J12" s="12" t="s">
        <v>41</v>
      </c>
      <c r="K12" s="13" t="s">
        <v>28</v>
      </c>
    </row>
    <row r="13" spans="1:11" ht="117.95" customHeight="1">
      <c r="A13" s="14" t="s">
        <v>85</v>
      </c>
      <c r="B13" s="15" t="s">
        <v>86</v>
      </c>
      <c r="C13" s="15" t="s">
        <v>87</v>
      </c>
      <c r="D13" s="15" t="s">
        <v>14</v>
      </c>
      <c r="E13" s="15" t="s">
        <v>88</v>
      </c>
      <c r="F13" s="15" t="s">
        <v>89</v>
      </c>
      <c r="G13" s="15" t="s">
        <v>17</v>
      </c>
      <c r="H13" s="15" t="s">
        <v>90</v>
      </c>
      <c r="I13" s="15" t="s">
        <v>19</v>
      </c>
      <c r="J13" s="15" t="s">
        <v>66</v>
      </c>
      <c r="K13" s="16" t="s">
        <v>21</v>
      </c>
    </row>
    <row r="14" spans="1:11" ht="117.95" customHeight="1">
      <c r="A14" s="11" t="s">
        <v>91</v>
      </c>
      <c r="B14" s="12" t="s">
        <v>92</v>
      </c>
      <c r="C14" s="12" t="s">
        <v>93</v>
      </c>
      <c r="D14" s="12" t="s">
        <v>14</v>
      </c>
      <c r="E14" s="12" t="s">
        <v>94</v>
      </c>
      <c r="F14" s="12" t="s">
        <v>95</v>
      </c>
      <c r="G14" s="12" t="s">
        <v>17</v>
      </c>
      <c r="H14" s="12" t="s">
        <v>90</v>
      </c>
      <c r="I14" s="12" t="s">
        <v>19</v>
      </c>
      <c r="J14" s="12" t="s">
        <v>66</v>
      </c>
      <c r="K14" s="13" t="s">
        <v>21</v>
      </c>
    </row>
    <row r="15" spans="1:11" ht="117.95" customHeight="1">
      <c r="A15" s="14" t="s">
        <v>96</v>
      </c>
      <c r="B15" s="15" t="s">
        <v>97</v>
      </c>
      <c r="C15" s="15" t="s">
        <v>98</v>
      </c>
      <c r="D15" s="15" t="s">
        <v>14</v>
      </c>
      <c r="E15" s="15" t="s">
        <v>99</v>
      </c>
      <c r="F15" s="15" t="s">
        <v>100</v>
      </c>
      <c r="G15" s="15" t="s">
        <v>17</v>
      </c>
      <c r="H15" s="15" t="s">
        <v>101</v>
      </c>
      <c r="I15" s="15" t="s">
        <v>19</v>
      </c>
      <c r="J15" s="15" t="s">
        <v>41</v>
      </c>
      <c r="K15" s="16" t="s">
        <v>21</v>
      </c>
    </row>
    <row r="16" spans="1:11" ht="117.95" customHeight="1">
      <c r="A16" s="11" t="s">
        <v>102</v>
      </c>
      <c r="B16" s="12" t="s">
        <v>103</v>
      </c>
      <c r="C16" s="12" t="s">
        <v>104</v>
      </c>
      <c r="D16" s="12" t="s">
        <v>14</v>
      </c>
      <c r="E16" s="12" t="s">
        <v>105</v>
      </c>
      <c r="F16" s="12" t="s">
        <v>106</v>
      </c>
      <c r="G16" s="12" t="s">
        <v>17</v>
      </c>
      <c r="H16" s="12" t="s">
        <v>107</v>
      </c>
      <c r="I16" s="12" t="s">
        <v>19</v>
      </c>
      <c r="J16" s="12" t="s">
        <v>66</v>
      </c>
      <c r="K16" s="13" t="s">
        <v>21</v>
      </c>
    </row>
    <row r="17" spans="1:11" ht="117.95" customHeight="1">
      <c r="A17" s="14" t="s">
        <v>108</v>
      </c>
      <c r="B17" s="15" t="s">
        <v>109</v>
      </c>
      <c r="C17" s="15" t="s">
        <v>110</v>
      </c>
      <c r="D17" s="15" t="s">
        <v>14</v>
      </c>
      <c r="E17" s="15" t="s">
        <v>111</v>
      </c>
      <c r="F17" s="15" t="s">
        <v>112</v>
      </c>
      <c r="G17" s="15" t="s">
        <v>17</v>
      </c>
      <c r="H17" s="15" t="s">
        <v>113</v>
      </c>
      <c r="I17" s="15" t="s">
        <v>19</v>
      </c>
      <c r="J17" s="15" t="s">
        <v>41</v>
      </c>
      <c r="K17" s="16" t="s">
        <v>28</v>
      </c>
    </row>
    <row r="18" spans="1:11" ht="117.95" customHeight="1">
      <c r="A18" s="11" t="s">
        <v>114</v>
      </c>
      <c r="B18" s="12" t="s">
        <v>115</v>
      </c>
      <c r="C18" s="12" t="s">
        <v>116</v>
      </c>
      <c r="D18" s="12" t="s">
        <v>14</v>
      </c>
      <c r="E18" s="12" t="s">
        <v>117</v>
      </c>
      <c r="F18" s="12" t="s">
        <v>118</v>
      </c>
      <c r="G18" s="12" t="s">
        <v>17</v>
      </c>
      <c r="H18" s="12" t="s">
        <v>119</v>
      </c>
      <c r="I18" s="12" t="s">
        <v>19</v>
      </c>
      <c r="J18" s="12" t="s">
        <v>20</v>
      </c>
      <c r="K18" s="13" t="s">
        <v>21</v>
      </c>
    </row>
    <row r="19" spans="1:11" ht="117.95" customHeight="1">
      <c r="A19" s="14" t="s">
        <v>120</v>
      </c>
      <c r="B19" s="15" t="s">
        <v>121</v>
      </c>
      <c r="C19" s="15" t="s">
        <v>122</v>
      </c>
      <c r="D19" s="15" t="s">
        <v>14</v>
      </c>
      <c r="E19" s="15" t="s">
        <v>123</v>
      </c>
      <c r="F19" s="15" t="s">
        <v>124</v>
      </c>
      <c r="G19" s="15" t="s">
        <v>17</v>
      </c>
      <c r="H19" s="15" t="s">
        <v>119</v>
      </c>
      <c r="I19" s="15" t="s">
        <v>19</v>
      </c>
      <c r="J19" s="15" t="s">
        <v>20</v>
      </c>
      <c r="K19" s="16" t="s">
        <v>21</v>
      </c>
    </row>
    <row r="20" spans="1:11" ht="117.95" customHeight="1">
      <c r="A20" s="11" t="s">
        <v>125</v>
      </c>
      <c r="B20" s="12" t="s">
        <v>126</v>
      </c>
      <c r="C20" s="12" t="s">
        <v>127</v>
      </c>
      <c r="D20" s="12" t="s">
        <v>14</v>
      </c>
      <c r="E20" s="12" t="s">
        <v>128</v>
      </c>
      <c r="F20" s="12" t="s">
        <v>129</v>
      </c>
      <c r="G20" s="12" t="s">
        <v>17</v>
      </c>
      <c r="H20" s="12" t="s">
        <v>130</v>
      </c>
      <c r="I20" s="12" t="s">
        <v>19</v>
      </c>
      <c r="J20" s="12" t="s">
        <v>20</v>
      </c>
      <c r="K20" s="13" t="s">
        <v>21</v>
      </c>
    </row>
    <row r="21" spans="1:11" ht="117.95" customHeight="1">
      <c r="A21" s="14" t="s">
        <v>131</v>
      </c>
      <c r="B21" s="15" t="s">
        <v>132</v>
      </c>
      <c r="C21" s="15" t="s">
        <v>133</v>
      </c>
      <c r="D21" s="15" t="s">
        <v>31</v>
      </c>
      <c r="E21" s="15" t="s">
        <v>134</v>
      </c>
      <c r="F21" s="15" t="s">
        <v>135</v>
      </c>
      <c r="G21" s="15" t="s">
        <v>17</v>
      </c>
      <c r="H21" s="15" t="s">
        <v>136</v>
      </c>
      <c r="I21" s="15" t="s">
        <v>19</v>
      </c>
      <c r="J21" s="15" t="s">
        <v>54</v>
      </c>
      <c r="K21" s="16" t="s">
        <v>21</v>
      </c>
    </row>
    <row r="22" spans="1:11" ht="117.95" customHeight="1">
      <c r="A22" s="11" t="s">
        <v>137</v>
      </c>
      <c r="B22" s="12" t="s">
        <v>138</v>
      </c>
      <c r="C22" s="12" t="s">
        <v>139</v>
      </c>
      <c r="D22" s="12" t="s">
        <v>31</v>
      </c>
      <c r="E22" s="12" t="s">
        <v>140</v>
      </c>
      <c r="F22" s="12" t="s">
        <v>141</v>
      </c>
      <c r="G22" s="12" t="s">
        <v>17</v>
      </c>
      <c r="H22" s="12" t="s">
        <v>142</v>
      </c>
      <c r="I22" s="12" t="s">
        <v>19</v>
      </c>
      <c r="J22" s="12" t="s">
        <v>54</v>
      </c>
      <c r="K22" s="13" t="s">
        <v>21</v>
      </c>
    </row>
    <row r="23" spans="1:11" ht="117.95" customHeight="1">
      <c r="A23" s="14" t="s">
        <v>143</v>
      </c>
      <c r="B23" s="15" t="s">
        <v>144</v>
      </c>
      <c r="C23" s="15" t="s">
        <v>145</v>
      </c>
      <c r="D23" s="15" t="s">
        <v>31</v>
      </c>
      <c r="E23" s="15" t="s">
        <v>146</v>
      </c>
      <c r="F23" s="15" t="s">
        <v>147</v>
      </c>
      <c r="G23" s="15" t="s">
        <v>17</v>
      </c>
      <c r="H23" s="15" t="s">
        <v>148</v>
      </c>
      <c r="I23" s="15" t="s">
        <v>19</v>
      </c>
      <c r="J23" s="15" t="s">
        <v>54</v>
      </c>
      <c r="K23" s="16" t="s">
        <v>21</v>
      </c>
    </row>
    <row r="24" spans="1:11" ht="117.95" customHeight="1">
      <c r="A24" s="11" t="s">
        <v>149</v>
      </c>
      <c r="B24" s="12" t="s">
        <v>150</v>
      </c>
      <c r="C24" s="12" t="s">
        <v>151</v>
      </c>
      <c r="D24" s="12" t="s">
        <v>31</v>
      </c>
      <c r="E24" s="12" t="s">
        <v>152</v>
      </c>
      <c r="F24" s="12" t="s">
        <v>153</v>
      </c>
      <c r="G24" s="12" t="s">
        <v>17</v>
      </c>
      <c r="H24" s="12" t="s">
        <v>154</v>
      </c>
      <c r="I24" s="12" t="s">
        <v>19</v>
      </c>
      <c r="J24" s="12" t="s">
        <v>41</v>
      </c>
      <c r="K24" s="13" t="s">
        <v>21</v>
      </c>
    </row>
    <row r="25" spans="1:11" ht="117.95" customHeight="1">
      <c r="A25" s="17" t="s">
        <v>155</v>
      </c>
      <c r="B25" s="18" t="s">
        <v>156</v>
      </c>
      <c r="C25" s="18" t="s">
        <v>157</v>
      </c>
      <c r="D25" s="18" t="s">
        <v>31</v>
      </c>
      <c r="E25" s="18" t="s">
        <v>158</v>
      </c>
      <c r="F25" s="18" t="s">
        <v>159</v>
      </c>
      <c r="G25" s="18" t="s">
        <v>17</v>
      </c>
      <c r="H25" s="18" t="s">
        <v>160</v>
      </c>
      <c r="I25" s="18" t="s">
        <v>19</v>
      </c>
      <c r="J25" s="18" t="s">
        <v>54</v>
      </c>
      <c r="K25" s="19" t="s">
        <v>21</v>
      </c>
    </row>
  </sheetData>
  <conditionalFormatting sqref="I2:I25">
    <cfRule type="expression" dxfId="19" priority="1">
      <formula>I2="OK"</formula>
    </cfRule>
    <cfRule type="expression" dxfId="18" priority="2">
      <formula>I2="NOK"</formula>
    </cfRule>
    <cfRule type="expression" dxfId="17" priority="3">
      <formula>I2="No ejecutado"</formula>
    </cfRule>
    <cfRule type="expression" dxfId="16" priority="4">
      <formula>I2="Bloqueado"</formula>
    </cfRule>
    <cfRule type="expression" dxfId="15" priority="5">
      <formula>I2="Obsoleto"</formula>
    </cfRule>
  </conditionalFormatting>
  <dataValidations count="1">
    <dataValidation type="list" sqref="J2:J25" xr:uid="{00000000-0002-0000-0000-000003000000}">
      <formula1>"Carlos Araya,Eduardo Compan,Alejandro Gysling,Rubén Mansilla"</formula1>
    </dataValidation>
  </dataValidations>
  <pageMargins left="0.7" right="0.7" top="0.75" bottom="0.75" header="0.3" footer="0.3"/>
  <tableParts count="1">
    <tablePart r:id="rId1"/>
  </tableParts>
  <extLst>
    <ext xmlns:x14="http://schemas.microsoft.com/office/spreadsheetml/2009/9/main" uri="{CCE6A557-97BC-4b89-ADB6-D9C93CAAB3DF}">
      <x14:dataValidations xmlns:xm="http://schemas.microsoft.com/office/excel/2006/main" count="3">
        <x14:dataValidation type="list" xr:uid="{00000000-0002-0000-0000-000000000000}">
          <x14:formula1>
            <xm:f>'Datos del plan'!$A$2:$A$8</xm:f>
          </x14:formula1>
          <xm:sqref>D2:D25</xm:sqref>
        </x14:dataValidation>
        <x14:dataValidation type="list" xr:uid="{00000000-0002-0000-0000-000001000000}">
          <x14:formula1>
            <xm:f>'Datos del plan'!$B$2:$B$6</xm:f>
          </x14:formula1>
          <xm:sqref>I2:I25</xm:sqref>
        </x14:dataValidation>
        <x14:dataValidation type="list" xr:uid="{00000000-0002-0000-0000-000002000000}">
          <x14:formula1>
            <xm:f>'Datos del plan'!$C$2:$C$4</xm:f>
          </x14:formula1>
          <xm:sqref>K2:K25</xm:sqref>
        </x14:dataValidation>
      </x14:dataValidation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B1:G20"/>
  <sheetViews>
    <sheetView workbookViewId="0"/>
  </sheetViews>
  <sheetFormatPr baseColWidth="10" defaultColWidth="9" defaultRowHeight="14.25"/>
  <cols>
    <col min="2" max="3" width="24" customWidth="1"/>
    <col min="5" max="5" width="16" customWidth="1"/>
    <col min="6" max="6" width="42" customWidth="1"/>
    <col min="7" max="7" width="32" customWidth="1"/>
  </cols>
  <sheetData>
    <row r="1" spans="2:7">
      <c r="E1" s="2"/>
      <c r="F1" s="2"/>
    </row>
    <row r="2" spans="2:7" ht="18">
      <c r="B2" s="7" t="s">
        <v>161</v>
      </c>
      <c r="C2" s="7"/>
      <c r="D2" s="7"/>
    </row>
    <row r="4" spans="2:7" ht="15">
      <c r="B4" s="5" t="s">
        <v>162</v>
      </c>
      <c r="C4" s="5" t="s">
        <v>163</v>
      </c>
      <c r="E4" s="1" t="s">
        <v>164</v>
      </c>
      <c r="F4" s="1" t="s">
        <v>165</v>
      </c>
      <c r="G4" s="1" t="s">
        <v>166</v>
      </c>
    </row>
    <row r="5" spans="2:7">
      <c r="B5" t="s">
        <v>167</v>
      </c>
      <c r="C5">
        <f>COUNTIF('Identificación Casos'!$I$2:$I$25,B5)</f>
        <v>0</v>
      </c>
      <c r="E5" s="2" t="s">
        <v>168</v>
      </c>
      <c r="F5" s="2" t="s">
        <v>169</v>
      </c>
      <c r="G5" s="2" t="s">
        <v>170</v>
      </c>
    </row>
    <row r="6" spans="2:7">
      <c r="B6" t="s">
        <v>171</v>
      </c>
      <c r="C6">
        <f>COUNTIF('Identificación Casos'!$I$2:$I$25,B6)</f>
        <v>0</v>
      </c>
      <c r="E6" s="2" t="s">
        <v>132</v>
      </c>
      <c r="F6" s="2" t="s">
        <v>172</v>
      </c>
      <c r="G6" s="2" t="s">
        <v>173</v>
      </c>
    </row>
    <row r="7" spans="2:7">
      <c r="B7" t="s">
        <v>19</v>
      </c>
      <c r="C7">
        <f>COUNTIF('Identificación Casos'!$I$2:$I$25,B7)</f>
        <v>24</v>
      </c>
      <c r="E7" s="2" t="s">
        <v>174</v>
      </c>
      <c r="F7" s="2" t="s">
        <v>175</v>
      </c>
      <c r="G7" s="2" t="s">
        <v>176</v>
      </c>
    </row>
    <row r="8" spans="2:7">
      <c r="B8" t="s">
        <v>177</v>
      </c>
      <c r="C8">
        <f>COUNTIF('Identificación Casos'!$I$2:$I$25,B8)</f>
        <v>0</v>
      </c>
      <c r="E8" s="2" t="s">
        <v>138</v>
      </c>
      <c r="F8" s="2" t="s">
        <v>178</v>
      </c>
      <c r="G8" s="2" t="s">
        <v>179</v>
      </c>
    </row>
    <row r="9" spans="2:7">
      <c r="B9" t="s">
        <v>180</v>
      </c>
      <c r="C9">
        <f>COUNTIF('Identificación Casos'!$I$2:$I$25,B9)</f>
        <v>0</v>
      </c>
      <c r="E9" s="2" t="s">
        <v>144</v>
      </c>
      <c r="F9" s="2" t="s">
        <v>143</v>
      </c>
      <c r="G9" s="2" t="s">
        <v>181</v>
      </c>
    </row>
    <row r="10" spans="2:7">
      <c r="E10" s="2" t="s">
        <v>150</v>
      </c>
      <c r="F10" s="2" t="s">
        <v>149</v>
      </c>
      <c r="G10" s="2" t="s">
        <v>181</v>
      </c>
    </row>
    <row r="11" spans="2:7" ht="15">
      <c r="B11" s="6" t="s">
        <v>182</v>
      </c>
      <c r="C11">
        <f>COUNTA('Identificación Casos'!$A$2:$A$25)</f>
        <v>24</v>
      </c>
      <c r="E11" s="2" t="s">
        <v>183</v>
      </c>
      <c r="F11" s="2" t="s">
        <v>184</v>
      </c>
      <c r="G11" s="2" t="s">
        <v>185</v>
      </c>
    </row>
    <row r="12" spans="2:7" ht="15">
      <c r="B12" s="6"/>
      <c r="E12" s="2" t="s">
        <v>156</v>
      </c>
      <c r="F12" s="2" t="s">
        <v>186</v>
      </c>
      <c r="G12" s="2" t="s">
        <v>187</v>
      </c>
    </row>
    <row r="13" spans="2:7" ht="15">
      <c r="B13" s="6" t="s">
        <v>188</v>
      </c>
      <c r="C13" s="3">
        <f>IF(C11=0,0,(C5+C6)/C11)</f>
        <v>0</v>
      </c>
    </row>
    <row r="15" spans="2:7" ht="15">
      <c r="E15" s="4" t="s">
        <v>10</v>
      </c>
      <c r="F15" s="4" t="s">
        <v>163</v>
      </c>
    </row>
    <row r="16" spans="2:7" ht="15">
      <c r="B16" s="4" t="s">
        <v>189</v>
      </c>
      <c r="C16" s="4" t="s">
        <v>190</v>
      </c>
      <c r="E16" t="s">
        <v>28</v>
      </c>
      <c r="F16">
        <f>COUNTIF('Identificación Casos'!$K$2:$K$25,E16)</f>
        <v>5</v>
      </c>
    </row>
    <row r="17" spans="2:6">
      <c r="B17" s="2" t="s">
        <v>66</v>
      </c>
      <c r="C17">
        <f>COUNTIF('Identificación Casos'!$J$2:$J$25,B17)</f>
        <v>6</v>
      </c>
      <c r="E17" t="s">
        <v>21</v>
      </c>
      <c r="F17">
        <f>COUNTIF('Identificación Casos'!$K$2:$K$25,E17)</f>
        <v>17</v>
      </c>
    </row>
    <row r="18" spans="2:6">
      <c r="B18" s="2" t="s">
        <v>54</v>
      </c>
      <c r="C18">
        <f>COUNTIF('Identificación Casos'!$J$2:$J$25,B18)</f>
        <v>6</v>
      </c>
      <c r="E18" t="s">
        <v>55</v>
      </c>
      <c r="F18">
        <f>COUNTIF('Identificación Casos'!$K$2:$K$25,E18)</f>
        <v>2</v>
      </c>
    </row>
    <row r="19" spans="2:6">
      <c r="B19" s="2" t="s">
        <v>41</v>
      </c>
      <c r="C19">
        <f>COUNTIF('Identificación Casos'!$J$2:$J$25,B19)</f>
        <v>6</v>
      </c>
    </row>
    <row r="20" spans="2:6">
      <c r="B20" s="2" t="s">
        <v>20</v>
      </c>
      <c r="C20">
        <f>COUNTIF('Identificación Casos'!$J$2:$J$25,B20)</f>
        <v>6</v>
      </c>
    </row>
  </sheetData>
  <mergeCells count="1">
    <mergeCell ref="B2:D2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D8"/>
  <sheetViews>
    <sheetView workbookViewId="0"/>
  </sheetViews>
  <sheetFormatPr baseColWidth="10" defaultColWidth="9" defaultRowHeight="14.25"/>
  <cols>
    <col min="1" max="4" width="20" customWidth="1"/>
  </cols>
  <sheetData>
    <row r="1" spans="1:4" ht="15">
      <c r="A1" s="1" t="s">
        <v>3</v>
      </c>
      <c r="B1" s="1" t="s">
        <v>8</v>
      </c>
      <c r="C1" s="1" t="s">
        <v>10</v>
      </c>
      <c r="D1" s="1" t="s">
        <v>191</v>
      </c>
    </row>
    <row r="2" spans="1:4">
      <c r="A2" s="2" t="s">
        <v>14</v>
      </c>
      <c r="B2" s="2" t="s">
        <v>167</v>
      </c>
      <c r="C2" s="2" t="s">
        <v>28</v>
      </c>
      <c r="D2" s="2" t="s">
        <v>192</v>
      </c>
    </row>
    <row r="3" spans="1:4">
      <c r="A3" s="2" t="s">
        <v>31</v>
      </c>
      <c r="B3" s="2" t="s">
        <v>171</v>
      </c>
      <c r="C3" s="2" t="s">
        <v>21</v>
      </c>
      <c r="D3" s="2" t="s">
        <v>193</v>
      </c>
    </row>
    <row r="4" spans="1:4">
      <c r="A4" s="2" t="s">
        <v>194</v>
      </c>
      <c r="B4" s="2" t="s">
        <v>19</v>
      </c>
      <c r="C4" s="2" t="s">
        <v>55</v>
      </c>
      <c r="D4" s="2"/>
    </row>
    <row r="5" spans="1:4">
      <c r="A5" s="2" t="s">
        <v>195</v>
      </c>
      <c r="B5" s="2" t="s">
        <v>177</v>
      </c>
      <c r="C5" s="2"/>
      <c r="D5" s="2"/>
    </row>
    <row r="6" spans="1:4">
      <c r="A6" s="2" t="s">
        <v>196</v>
      </c>
      <c r="B6" s="2" t="s">
        <v>180</v>
      </c>
      <c r="C6" s="2"/>
      <c r="D6" s="2"/>
    </row>
    <row r="7" spans="1:4">
      <c r="A7" s="2" t="s">
        <v>197</v>
      </c>
      <c r="B7" s="2"/>
      <c r="C7" s="2"/>
      <c r="D7" s="2"/>
    </row>
    <row r="8" spans="1:4">
      <c r="A8" s="2" t="s">
        <v>198</v>
      </c>
      <c r="B8" s="2"/>
      <c r="C8" s="2"/>
      <c r="D8" s="2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3</vt:i4>
      </vt:variant>
    </vt:vector>
  </HeadingPairs>
  <TitlesOfParts>
    <vt:vector size="3" baseType="lpstr">
      <vt:lpstr>Identificación Casos</vt:lpstr>
      <vt:lpstr>Control</vt:lpstr>
      <vt:lpstr>Datos del plan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ALEJANDRO GABRIEL GYSLING ARDILES</cp:lastModifiedBy>
  <dcterms:modified xsi:type="dcterms:W3CDTF">2026-10-07T16:23:31Z</dcterms:modified>
</cp:coreProperties>
</file>